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Zona Trabajo\Excel Macro\Control Ficha Cliente\"/>
    </mc:Choice>
  </mc:AlternateContent>
  <xr:revisionPtr revIDLastSave="0" documentId="13_ncr:1_{5B71F7C6-7AC3-4D67-9EAA-78BD841A4FD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L" sheetId="3" state="hidden" r:id="rId2"/>
    <sheet name="TEMP" sheetId="4" state="hidden" r:id="rId3"/>
  </sheets>
  <functionGroups builtInGroupCount="19"/>
  <definedNames>
    <definedName name="ALTERNADO">MAIN!$B$5</definedName>
    <definedName name="dataSet">MAIN!$C$6</definedName>
    <definedName name="DB_PATH">L!$B$1</definedName>
    <definedName name="HISTORICO">MAIN!$I$2</definedName>
    <definedName name="ID_FICHA">MAIN!$C$5</definedName>
    <definedName name="MONTO">MAIN!$O$5</definedName>
    <definedName name="PARTICIPACION">MAIN!$I$5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" l="1"/>
  <c r="B7" i="1" s="1"/>
  <c r="B8" i="1" s="1"/>
  <c r="B9" i="1" s="1"/>
  <c r="B10" i="1" s="1"/>
  <c r="B11" i="1" s="1"/>
  <c r="B12" i="1" s="1"/>
  <c r="B13" i="1" s="1"/>
  <c r="B5" i="1" l="1"/>
</calcChain>
</file>

<file path=xl/sharedStrings.xml><?xml version="1.0" encoding="utf-8"?>
<sst xmlns="http://schemas.openxmlformats.org/spreadsheetml/2006/main" count="113" uniqueCount="62">
  <si>
    <t>GRUPO</t>
  </si>
  <si>
    <t>DOI</t>
  </si>
  <si>
    <t>CODIGO SOCIO</t>
  </si>
  <si>
    <t>SOLICITUD</t>
  </si>
  <si>
    <t>PRODUCTO</t>
  </si>
  <si>
    <t>NOMBRE DEL SOCIO</t>
  </si>
  <si>
    <t>MON</t>
  </si>
  <si>
    <t>MONTO</t>
  </si>
  <si>
    <t>PORCENTAJE DE PARTICIPACION</t>
  </si>
  <si>
    <t>TIPO</t>
  </si>
  <si>
    <t>FECHA</t>
  </si>
  <si>
    <t>DB_PATH</t>
  </si>
  <si>
    <t>\DATABASE\DB_FICHA_CLIENTE.accdb</t>
  </si>
  <si>
    <t>ORIGINAL</t>
  </si>
  <si>
    <t>ACCIONISTA</t>
  </si>
  <si>
    <t>NINGUNO</t>
  </si>
  <si>
    <t>46917716</t>
  </si>
  <si>
    <t>0005431</t>
  </si>
  <si>
    <t>KENJI JHONCON YAGUE</t>
  </si>
  <si>
    <t>PCO</t>
  </si>
  <si>
    <t>S</t>
  </si>
  <si>
    <t>2011-11-9898</t>
  </si>
  <si>
    <t>PEX</t>
  </si>
  <si>
    <t>489945191</t>
  </si>
  <si>
    <t>2050-29-87416</t>
  </si>
  <si>
    <t>D</t>
  </si>
  <si>
    <t>0000001</t>
  </si>
  <si>
    <t>ADAUTO QUISPE</t>
  </si>
  <si>
    <t>98765432198</t>
  </si>
  <si>
    <t>123456789</t>
  </si>
  <si>
    <t>MICAELA HANASHIRO</t>
  </si>
  <si>
    <t>5164.988729.2</t>
  </si>
  <si>
    <t>TAN</t>
  </si>
  <si>
    <t>OTRO</t>
  </si>
  <si>
    <t>DIRECTO</t>
  </si>
  <si>
    <t>APPLE</t>
  </si>
  <si>
    <t>DDDDHHHFFECH UUAJCOI JG</t>
  </si>
  <si>
    <t>77777777777777</t>
  </si>
  <si>
    <t>SSSSSSSSSAAAAAASSS</t>
  </si>
  <si>
    <t>MMMMMMMMMMMM........HHG</t>
  </si>
  <si>
    <t>MIDORI HIGA</t>
  </si>
  <si>
    <t>Histórico:</t>
  </si>
  <si>
    <t>NO</t>
  </si>
  <si>
    <t>YE WO NIST</t>
  </si>
  <si>
    <t>MR BLUE</t>
  </si>
  <si>
    <t>ID_FICHA</t>
  </si>
  <si>
    <t>ID</t>
  </si>
  <si>
    <t>NOMBRE</t>
  </si>
  <si>
    <t>ANULADO</t>
  </si>
  <si>
    <t>8888888888888888</t>
  </si>
  <si>
    <t>9898989898989</t>
  </si>
  <si>
    <t>21978419985</t>
  </si>
  <si>
    <t>3949812-48</t>
  </si>
  <si>
    <t>LALALALALAXPAPAPAPMAMAMA</t>
  </si>
  <si>
    <t>98989898989898</t>
  </si>
  <si>
    <t>212121212494949137</t>
  </si>
  <si>
    <t>8217397182793</t>
  </si>
  <si>
    <t>PRUEBA ANULAR</t>
  </si>
  <si>
    <t>28524123</t>
  </si>
  <si>
    <t>ROUGH</t>
  </si>
  <si>
    <t>533563</t>
  </si>
  <si>
    <t>98745131974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</si>
</sst>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D1BD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">
    <xf numFmtId="0" fontId="0" fillId="0" borderId="0" xfId="0"/>
    <xf numFmtId="14" fontId="2" fillId="2" borderId="0" xfId="0" applyNumberFormat="1" applyFont="1" applyFill="1" applyAlignment="1" applyProtection="1">
      <alignment horizontal="center" vertical="center" wrapText="1"/>
      <protection locked="0"/>
    </xf>
    <xf numFmtId="14" fontId="2" fillId="2" borderId="0" xfId="0" applyNumberFormat="1" applyFont="1" applyFill="1" applyAlignment="1" applyProtection="1">
      <alignment horizontal="center" vertical="center"/>
      <protection locked="0"/>
    </xf>
    <xf numFmtId="14" fontId="0" fillId="0" borderId="0" xfId="0" applyNumberFormat="1"/>
    <xf numFmtId="49" fontId="0" fillId="0" borderId="0" xfId="0" applyNumberFormat="1"/>
    <xf numFmtId="1" fontId="0" fillId="0" borderId="0" xfId="0" applyNumberFormat="1"/>
    <xf numFmtId="14" fontId="0" fillId="0" borderId="0" xfId="0" applyNumberFormat="1"/>
    <xf numFmtId="4" fontId="0" fillId="0" borderId="0" xfId="0" applyNumberFormat="1"/>
    <xf numFmtId="10" fontId="0" fillId="0" borderId="0" xfId="2" applyNumberFormat="1" applyFont="1"/>
    <xf numFmtId="10" fontId="2" fillId="2" borderId="0" xfId="2" applyNumberFormat="1" applyFont="1" applyFill="1" applyAlignment="1" applyProtection="1">
      <alignment horizontal="center" vertical="center" wrapText="1"/>
      <protection locked="0"/>
    </xf>
    <xf numFmtId="4" fontId="2" fillId="2" borderId="0" xfId="1" applyNumberFormat="1" applyFont="1" applyFill="1" applyAlignment="1" applyProtection="1">
      <alignment horizontal="center" vertical="center" wrapText="1"/>
      <protection locked="0"/>
    </xf>
    <xf numFmtId="10" fontId="0" fillId="0" borderId="1" xfId="2" applyNumberFormat="1" applyFont="1" applyBorder="1" applyAlignment="1">
      <alignment horizontal="center"/>
    </xf>
    <xf numFmtId="0" fontId="0" fillId="0" borderId="0" xfId="0" applyAlignment="1">
      <alignment horizontal="right" indent="1"/>
    </xf>
  </cellXfs>
  <cellStyles count="3">
    <cellStyle name="Millares" xfId="1" builtinId="3"/>
    <cellStyle name="Normal" xfId="0" builtinId="0"/>
    <cellStyle name="Porcentaje" xfId="2" builtinId="5"/>
  </cellStyles>
  <dxfs count="1">
    <dxf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</xdr:colOff>
          <xdr:row>0</xdr:row>
          <xdr:rowOff>133350</xdr:rowOff>
        </xdr:from>
        <xdr:to>
          <xdr:col>13</xdr:col>
          <xdr:colOff>381000</xdr:colOff>
          <xdr:row>2</xdr:row>
          <xdr:rowOff>76200</xdr:rowOff>
        </xdr:to>
        <xdr:sp macro="" textlink="">
          <xdr:nvSpPr>
            <xdr:cNvPr id="1026" name="MantenimientoB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Mantenimiento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0</xdr:row>
          <xdr:rowOff>123825</xdr:rowOff>
        </xdr:from>
        <xdr:to>
          <xdr:col>10</xdr:col>
          <xdr:colOff>381000</xdr:colOff>
          <xdr:row>2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466725</xdr:colOff>
          <xdr:row>0</xdr:row>
          <xdr:rowOff>123825</xdr:rowOff>
        </xdr:from>
        <xdr:to>
          <xdr:col>14</xdr:col>
          <xdr:colOff>552450</xdr:colOff>
          <xdr:row>2</xdr:row>
          <xdr:rowOff>66675</xdr:rowOff>
        </xdr:to>
        <xdr:sp macro="" textlink="">
          <xdr:nvSpPr>
            <xdr:cNvPr id="1032" name="MantenimientoBD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Grupos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628650</xdr:colOff>
          <xdr:row>0</xdr:row>
          <xdr:rowOff>123825</xdr:rowOff>
        </xdr:from>
        <xdr:to>
          <xdr:col>15</xdr:col>
          <xdr:colOff>238125</xdr:colOff>
          <xdr:row>2</xdr:row>
          <xdr:rowOff>66675</xdr:rowOff>
        </xdr:to>
        <xdr:sp macro="" textlink="">
          <xdr:nvSpPr>
            <xdr:cNvPr id="1033" name="MantenimientoB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Accionistas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866775</xdr:colOff>
          <xdr:row>0</xdr:row>
          <xdr:rowOff>142875</xdr:rowOff>
        </xdr:from>
        <xdr:to>
          <xdr:col>11</xdr:col>
          <xdr:colOff>723900</xdr:colOff>
          <xdr:row>2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 Ficha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O43"/>
  <sheetViews>
    <sheetView showGridLines="0" tabSelected="1" zoomScaleNormal="100" workbookViewId="0"/>
  </sheetViews>
  <sheetFormatPr baseColWidth="10" defaultRowHeight="15" x14ac:dyDescent="0.25"/>
  <cols>
    <col min="1" max="1" width="4.28515625" customWidth="1"/>
    <col min="2" max="3" width="11.42578125" hidden="1" customWidth="1"/>
    <col min="4" max="4" width="16.5703125" customWidth="1"/>
    <col min="5" max="5" width="16.140625" customWidth="1"/>
    <col min="6" max="6" width="14.28515625" customWidth="1"/>
    <col min="7" max="7" width="31.42578125" customWidth="1"/>
    <col min="8" max="8" width="35.28515625" customWidth="1"/>
    <col min="9" max="9" width="16.5703125" style="8" customWidth="1"/>
    <col min="10" max="10" width="16.5703125" customWidth="1"/>
    <col min="11" max="11" width="16.5703125" style="3" customWidth="1"/>
    <col min="12" max="12" width="17.140625" customWidth="1"/>
    <col min="15" max="15" width="18.5703125" style="7" customWidth="1"/>
  </cols>
  <sheetData>
    <row r="1" spans="2:15" ht="15.75" thickBot="1" x14ac:dyDescent="0.3">
      <c r="K1"/>
    </row>
    <row r="2" spans="2:15" ht="15.75" thickBot="1" x14ac:dyDescent="0.3">
      <c r="H2" s="12" t="s">
        <v>41</v>
      </c>
      <c r="I2" s="11" t="s">
        <v>42</v>
      </c>
      <c r="K2"/>
    </row>
    <row r="3" spans="2:15" x14ac:dyDescent="0.25">
      <c r="K3"/>
    </row>
    <row r="4" spans="2:15" x14ac:dyDescent="0.25">
      <c r="K4"/>
    </row>
    <row r="5" spans="2:15" ht="25.5" x14ac:dyDescent="0.25">
      <c r="B5">
        <f>IF(C4&lt;&gt;C5,B4+1,B4)</f>
        <v>1</v>
      </c>
      <c r="C5" t="s">
        <v>45</v>
      </c>
      <c r="D5" s="1" t="s">
        <v>0</v>
      </c>
      <c r="E5" s="1" t="s">
        <v>1</v>
      </c>
      <c r="F5" s="1" t="s">
        <v>2</v>
      </c>
      <c r="G5" s="1" t="s">
        <v>5</v>
      </c>
      <c r="H5" s="1" t="s">
        <v>14</v>
      </c>
      <c r="I5" s="9" t="s">
        <v>8</v>
      </c>
      <c r="J5" s="1" t="s">
        <v>9</v>
      </c>
      <c r="K5" s="1" t="s">
        <v>10</v>
      </c>
      <c r="L5" s="1" t="s">
        <v>3</v>
      </c>
      <c r="M5" s="1" t="s">
        <v>4</v>
      </c>
      <c r="N5" s="2" t="s">
        <v>6</v>
      </c>
      <c r="O5" s="10" t="s">
        <v>7</v>
      </c>
    </row>
    <row r="6" spans="2:15" x14ac:dyDescent="0.25">
      <c r="B6">
        <f t="shared" ref="B6:B13" si="0">IF(C5&lt;&gt;C6,B5+1,B5)</f>
        <v>2</v>
      </c>
      <c r="C6">
        <v>8</v>
      </c>
      <c r="D6" t="s">
        <v>27</v>
      </c>
      <c r="E6" t="s">
        <v>28</v>
      </c>
      <c r="F6" t="s">
        <v>29</v>
      </c>
      <c r="G6" t="s">
        <v>30</v>
      </c>
      <c r="H6" t="s">
        <v>36</v>
      </c>
      <c r="I6" s="8">
        <v>1</v>
      </c>
      <c r="J6" t="s">
        <v>13</v>
      </c>
      <c r="K6" s="3">
        <v>46507</v>
      </c>
      <c r="L6" t="s">
        <v>31</v>
      </c>
      <c r="M6" s="6" t="s">
        <v>32</v>
      </c>
      <c r="N6" s="6" t="s">
        <v>33</v>
      </c>
      <c r="O6" s="7">
        <v>98278185.209999993</v>
      </c>
    </row>
    <row r="7" spans="2:15" x14ac:dyDescent="0.25">
      <c r="B7">
        <f t="shared" si="0"/>
        <v>3</v>
      </c>
      <c r="C7">
        <v>7</v>
      </c>
      <c r="D7" t="s">
        <v>34</v>
      </c>
      <c r="E7" t="s">
        <v>23</v>
      </c>
      <c r="F7" t="s">
        <v>26</v>
      </c>
      <c r="G7" t="s">
        <v>40</v>
      </c>
      <c r="H7" t="s">
        <v>38</v>
      </c>
      <c r="I7" s="8">
        <v>0.26</v>
      </c>
      <c r="J7" t="s">
        <v>13</v>
      </c>
      <c r="K7" s="3">
        <v>593</v>
      </c>
      <c r="L7" t="s">
        <v>24</v>
      </c>
      <c r="M7" s="6" t="s">
        <v>19</v>
      </c>
      <c r="N7" s="6" t="s">
        <v>25</v>
      </c>
      <c r="O7" s="7">
        <v>1111111111111</v>
      </c>
    </row>
    <row r="8" spans="2:15" x14ac:dyDescent="0.25">
      <c r="B8">
        <f t="shared" si="0"/>
        <v>3</v>
      </c>
      <c r="C8">
        <v>7</v>
      </c>
      <c r="D8" t="s">
        <v>34</v>
      </c>
      <c r="E8" t="s">
        <v>23</v>
      </c>
      <c r="F8" t="s">
        <v>26</v>
      </c>
      <c r="G8" t="s">
        <v>40</v>
      </c>
      <c r="H8" t="s">
        <v>39</v>
      </c>
      <c r="I8" s="8">
        <v>0.43</v>
      </c>
      <c r="J8" t="s">
        <v>13</v>
      </c>
      <c r="K8" s="3">
        <v>593</v>
      </c>
      <c r="L8" t="s">
        <v>24</v>
      </c>
      <c r="M8" s="6" t="s">
        <v>19</v>
      </c>
      <c r="N8" s="6" t="s">
        <v>25</v>
      </c>
      <c r="O8" s="7">
        <v>1111111111111</v>
      </c>
    </row>
    <row r="9" spans="2:15" x14ac:dyDescent="0.25">
      <c r="B9">
        <f t="shared" si="0"/>
        <v>3</v>
      </c>
      <c r="C9">
        <v>7</v>
      </c>
      <c r="D9" t="s">
        <v>34</v>
      </c>
      <c r="E9" t="s">
        <v>23</v>
      </c>
      <c r="F9" t="s">
        <v>26</v>
      </c>
      <c r="G9" t="s">
        <v>40</v>
      </c>
      <c r="H9" t="s">
        <v>37</v>
      </c>
      <c r="I9" s="8">
        <v>0.23</v>
      </c>
      <c r="J9" t="s">
        <v>13</v>
      </c>
      <c r="K9" s="3">
        <v>593</v>
      </c>
      <c r="L9" t="s">
        <v>24</v>
      </c>
      <c r="M9" s="6" t="s">
        <v>19</v>
      </c>
      <c r="N9" s="6" t="s">
        <v>25</v>
      </c>
      <c r="O9" s="7">
        <v>1111111111111</v>
      </c>
    </row>
    <row r="10" spans="2:15" x14ac:dyDescent="0.25">
      <c r="B10">
        <f t="shared" si="0"/>
        <v>3</v>
      </c>
      <c r="C10">
        <v>7</v>
      </c>
      <c r="D10" t="s">
        <v>34</v>
      </c>
      <c r="E10" t="s">
        <v>23</v>
      </c>
      <c r="F10" t="s">
        <v>26</v>
      </c>
      <c r="G10" t="s">
        <v>40</v>
      </c>
      <c r="H10" t="s">
        <v>35</v>
      </c>
      <c r="I10" s="8">
        <v>0.05</v>
      </c>
      <c r="J10" t="s">
        <v>13</v>
      </c>
      <c r="K10" s="3">
        <v>593</v>
      </c>
      <c r="L10" t="s">
        <v>24</v>
      </c>
      <c r="M10" s="6" t="s">
        <v>19</v>
      </c>
      <c r="N10" s="6" t="s">
        <v>25</v>
      </c>
      <c r="O10" s="7">
        <v>1111111111111</v>
      </c>
    </row>
    <row r="11" spans="2:15" x14ac:dyDescent="0.25">
      <c r="B11">
        <f t="shared" si="0"/>
        <v>3</v>
      </c>
      <c r="C11">
        <v>7</v>
      </c>
      <c r="D11" t="s">
        <v>34</v>
      </c>
      <c r="E11" t="s">
        <v>23</v>
      </c>
      <c r="F11" t="s">
        <v>26</v>
      </c>
      <c r="G11" t="s">
        <v>40</v>
      </c>
      <c r="H11" t="s">
        <v>36</v>
      </c>
      <c r="I11" s="8">
        <v>0.03</v>
      </c>
      <c r="J11" t="s">
        <v>13</v>
      </c>
      <c r="K11" s="3">
        <v>593</v>
      </c>
      <c r="L11" t="s">
        <v>24</v>
      </c>
      <c r="M11" s="6" t="s">
        <v>19</v>
      </c>
      <c r="N11" s="6" t="s">
        <v>25</v>
      </c>
      <c r="O11" s="7">
        <v>1111111111111</v>
      </c>
    </row>
    <row r="12" spans="2:15" x14ac:dyDescent="0.25">
      <c r="B12">
        <f t="shared" si="0"/>
        <v>4</v>
      </c>
      <c r="C12">
        <v>4</v>
      </c>
      <c r="D12" t="s">
        <v>15</v>
      </c>
      <c r="E12" t="s">
        <v>16</v>
      </c>
      <c r="F12" t="s">
        <v>17</v>
      </c>
      <c r="G12" t="s">
        <v>18</v>
      </c>
      <c r="H12" t="s">
        <v>36</v>
      </c>
      <c r="I12" s="8">
        <v>0.92</v>
      </c>
      <c r="J12" t="s">
        <v>13</v>
      </c>
      <c r="K12" s="3">
        <v>45220</v>
      </c>
      <c r="L12" t="s">
        <v>21</v>
      </c>
      <c r="M12" s="6" t="s">
        <v>22</v>
      </c>
      <c r="N12" s="6" t="s">
        <v>20</v>
      </c>
      <c r="O12" s="7">
        <v>8745.65</v>
      </c>
    </row>
    <row r="13" spans="2:15" x14ac:dyDescent="0.25">
      <c r="B13">
        <f t="shared" si="0"/>
        <v>4</v>
      </c>
      <c r="C13">
        <v>4</v>
      </c>
      <c r="D13" t="s">
        <v>15</v>
      </c>
      <c r="E13" t="s">
        <v>16</v>
      </c>
      <c r="F13" t="s">
        <v>17</v>
      </c>
      <c r="G13" t="s">
        <v>18</v>
      </c>
      <c r="H13" t="s">
        <v>37</v>
      </c>
      <c r="I13" s="8">
        <v>0.08</v>
      </c>
      <c r="J13" t="s">
        <v>13</v>
      </c>
      <c r="K13" s="3">
        <v>45220</v>
      </c>
      <c r="L13" t="s">
        <v>21</v>
      </c>
      <c r="M13" s="6" t="s">
        <v>22</v>
      </c>
      <c r="N13" s="6" t="s">
        <v>20</v>
      </c>
      <c r="O13" s="7">
        <v>8745.65</v>
      </c>
    </row>
    <row r="14" spans="2:15" x14ac:dyDescent="0.25">
      <c r="M14" s="6"/>
      <c r="N14" s="6"/>
    </row>
    <row r="15" spans="2:15" x14ac:dyDescent="0.25">
      <c r="M15" s="6"/>
      <c r="N15" s="6"/>
    </row>
    <row r="16" spans="2:15" x14ac:dyDescent="0.25">
      <c r="M16" s="6"/>
      <c r="N16" s="6"/>
    </row>
    <row r="17" spans="13:14" x14ac:dyDescent="0.25">
      <c r="M17" s="6"/>
      <c r="N17" s="6"/>
    </row>
    <row r="18" spans="13:14" x14ac:dyDescent="0.25">
      <c r="M18" s="6"/>
      <c r="N18" s="6"/>
    </row>
    <row r="19" spans="13:14" x14ac:dyDescent="0.25">
      <c r="M19" s="6"/>
      <c r="N19" s="6"/>
    </row>
    <row r="20" spans="13:14" x14ac:dyDescent="0.25">
      <c r="M20" s="6"/>
      <c r="N20" s="6"/>
    </row>
    <row r="21" spans="13:14" x14ac:dyDescent="0.25">
      <c r="M21" s="6"/>
      <c r="N21" s="6"/>
    </row>
    <row r="22" spans="13:14" x14ac:dyDescent="0.25">
      <c r="M22" s="6"/>
      <c r="N22" s="6"/>
    </row>
    <row r="23" spans="13:14" x14ac:dyDescent="0.25">
      <c r="M23" s="6"/>
      <c r="N23" s="6"/>
    </row>
    <row r="24" spans="13:14" x14ac:dyDescent="0.25">
      <c r="M24" s="6"/>
      <c r="N24" s="6"/>
    </row>
    <row r="25" spans="13:14" x14ac:dyDescent="0.25">
      <c r="M25" s="6"/>
      <c r="N25" s="6"/>
    </row>
    <row r="26" spans="13:14" x14ac:dyDescent="0.25">
      <c r="M26" s="6"/>
      <c r="N26" s="6"/>
    </row>
    <row r="27" spans="13:14" x14ac:dyDescent="0.25">
      <c r="M27" s="6"/>
      <c r="N27" s="6"/>
    </row>
    <row r="28" spans="13:14" x14ac:dyDescent="0.25">
      <c r="M28" s="6"/>
      <c r="N28" s="6"/>
    </row>
    <row r="29" spans="13:14" x14ac:dyDescent="0.25">
      <c r="M29" s="6"/>
      <c r="N29" s="6"/>
    </row>
    <row r="30" spans="13:14" x14ac:dyDescent="0.25">
      <c r="M30" s="6"/>
      <c r="N30" s="6"/>
    </row>
    <row r="31" spans="13:14" x14ac:dyDescent="0.25">
      <c r="M31" s="6"/>
      <c r="N31" s="6"/>
    </row>
    <row r="32" spans="13:14" x14ac:dyDescent="0.25">
      <c r="M32" s="6"/>
      <c r="N32" s="6"/>
    </row>
    <row r="33" spans="13:14" x14ac:dyDescent="0.25">
      <c r="M33" s="6"/>
      <c r="N33" s="6"/>
    </row>
    <row r="34" spans="13:14" x14ac:dyDescent="0.25">
      <c r="M34" s="6"/>
      <c r="N34" s="6"/>
    </row>
    <row r="35" spans="13:14" x14ac:dyDescent="0.25">
      <c r="M35" s="6"/>
      <c r="N35" s="6"/>
    </row>
    <row r="36" spans="13:14" x14ac:dyDescent="0.25">
      <c r="M36" s="6"/>
      <c r="N36" s="6"/>
    </row>
    <row r="37" spans="13:14" x14ac:dyDescent="0.25">
      <c r="M37" s="6"/>
      <c r="N37" s="6"/>
    </row>
    <row r="38" spans="13:14" x14ac:dyDescent="0.25">
      <c r="M38" s="6"/>
      <c r="N38" s="6"/>
    </row>
    <row r="39" spans="13:14" x14ac:dyDescent="0.25">
      <c r="M39" s="6"/>
      <c r="N39" s="6"/>
    </row>
    <row r="40" spans="13:14" x14ac:dyDescent="0.25">
      <c r="M40" s="6"/>
      <c r="N40" s="6"/>
    </row>
    <row r="41" spans="13:14" x14ac:dyDescent="0.25">
      <c r="M41" s="6"/>
      <c r="N41" s="6"/>
    </row>
    <row r="42" spans="13:14" x14ac:dyDescent="0.25">
      <c r="M42" s="6"/>
      <c r="N42" s="6"/>
    </row>
    <row r="43" spans="13:14" x14ac:dyDescent="0.25">
      <c r="M43" s="6"/>
      <c r="N43" s="6"/>
    </row>
  </sheetData>
  <conditionalFormatting sqref="D6:O1000">
    <cfRule type="expression" dxfId="0" priority="1">
      <formula>AND(MOD($B6,2)=1)</formula>
    </cfRule>
  </conditionalFormatting>
  <dataValidations count="1">
    <dataValidation type="list" allowBlank="1" showInputMessage="1" showErrorMessage="1" sqref="I2" xr:uid="{00000000-0002-0000-0000-000000000000}">
      <formula1>"SI,NO"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MantenimientoBD">
              <controlPr defaultSize="0" print="0" autoFill="0" autoPict="0" macro="[0]!MantenimientoDB">
                <anchor moveWithCells="1" sizeWithCells="1">
                  <from>
                    <xdr:col>12</xdr:col>
                    <xdr:colOff>57150</xdr:colOff>
                    <xdr:row>0</xdr:row>
                    <xdr:rowOff>133350</xdr:rowOff>
                  </from>
                  <to>
                    <xdr:col>13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ActualizarMain">
                <anchor moveWithCells="1">
                  <from>
                    <xdr:col>9</xdr:col>
                    <xdr:colOff>219075</xdr:colOff>
                    <xdr:row>0</xdr:row>
                    <xdr:rowOff>123825</xdr:rowOff>
                  </from>
                  <to>
                    <xdr:col>10</xdr:col>
                    <xdr:colOff>381000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MantenimientoGrupo">
                <anchor moveWithCells="1" sizeWithCells="1">
                  <from>
                    <xdr:col>13</xdr:col>
                    <xdr:colOff>466725</xdr:colOff>
                    <xdr:row>0</xdr:row>
                    <xdr:rowOff>123825</xdr:rowOff>
                  </from>
                  <to>
                    <xdr:col>14</xdr:col>
                    <xdr:colOff>552450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MantenimientoAccionista">
                <anchor moveWithCells="1" sizeWithCells="1">
                  <from>
                    <xdr:col>14</xdr:col>
                    <xdr:colOff>628650</xdr:colOff>
                    <xdr:row>0</xdr:row>
                    <xdr:rowOff>123825</xdr:rowOff>
                  </from>
                  <to>
                    <xdr:col>15</xdr:col>
                    <xdr:colOff>238125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VerFichaCliente">
                <anchor moveWithCells="1">
                  <from>
                    <xdr:col>10</xdr:col>
                    <xdr:colOff>866775</xdr:colOff>
                    <xdr:row>0</xdr:row>
                    <xdr:rowOff>142875</xdr:rowOff>
                  </from>
                  <to>
                    <xdr:col>11</xdr:col>
                    <xdr:colOff>723900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B1"/>
  <sheetViews>
    <sheetView workbookViewId="0"/>
  </sheetViews>
  <sheetFormatPr baseColWidth="10" defaultRowHeight="15" x14ac:dyDescent="0.25"/>
  <sheetData>
    <row r="1" spans="1:2" x14ac:dyDescent="0.25">
      <c r="A1" t="s">
        <v>11</v>
      </c>
      <c r="B1" t="s">
        <v>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F11"/>
  <sheetViews>
    <sheetView workbookViewId="0"/>
  </sheetViews>
  <sheetFormatPr baseColWidth="10" defaultRowHeight="15" x14ac:dyDescent="0.25"/>
  <cols>
    <col min="1" max="1" width="11.42578125" style="5"/>
    <col min="2" max="2" width="19.42578125" customWidth="1"/>
    <col min="3" max="3" width="11.42578125" style="4"/>
    <col min="4" max="4" width="16.7109375" style="4" customWidth="1"/>
    <col min="5" max="5" width="31.5703125" style="7" customWidth="1"/>
    <col min="6" max="6" width="11.42578125" style="5"/>
  </cols>
  <sheetData>
    <row r="1" spans="1:4" x14ac:dyDescent="0.25">
      <c r="A1" s="5" t="s">
        <v>46</v>
      </c>
      <c r="B1" t="s">
        <v>1</v>
      </c>
      <c r="C1" s="4" t="s">
        <v>47</v>
      </c>
      <c r="D1" s="4" t="s">
        <v>48</v>
      </c>
    </row>
    <row r="2" spans="1:4" x14ac:dyDescent="0.25">
      <c r="A2" s="5">
        <v>6</v>
      </c>
      <c r="B2" t="s">
        <v>49</v>
      </c>
      <c r="C2" s="4" t="s">
        <v>37</v>
      </c>
      <c r="D2" s="4" t="b">
        <v>0</v>
      </c>
    </row>
    <row r="3" spans="1:4" x14ac:dyDescent="0.25">
      <c r="A3" s="5">
        <v>3</v>
      </c>
      <c r="B3" t="s">
        <v>50</v>
      </c>
      <c r="C3" s="4" t="s">
        <v>35</v>
      </c>
      <c r="D3" s="4" t="b">
        <v>0</v>
      </c>
    </row>
    <row r="4" spans="1:4" x14ac:dyDescent="0.25">
      <c r="A4" s="5">
        <v>7</v>
      </c>
      <c r="B4" t="s">
        <v>51</v>
      </c>
      <c r="C4" s="4" t="s">
        <v>36</v>
      </c>
      <c r="D4" s="4" t="b">
        <v>0</v>
      </c>
    </row>
    <row r="5" spans="1:4" x14ac:dyDescent="0.25">
      <c r="A5" s="5">
        <v>8</v>
      </c>
      <c r="B5" t="s">
        <v>52</v>
      </c>
      <c r="C5" s="4" t="s">
        <v>53</v>
      </c>
      <c r="D5" s="4" t="b">
        <v>0</v>
      </c>
    </row>
    <row r="6" spans="1:4" x14ac:dyDescent="0.25">
      <c r="A6" s="5">
        <v>4</v>
      </c>
      <c r="B6" t="s">
        <v>54</v>
      </c>
      <c r="C6" s="4" t="s">
        <v>39</v>
      </c>
      <c r="D6" s="4" t="b">
        <v>0</v>
      </c>
    </row>
    <row r="7" spans="1:4" x14ac:dyDescent="0.25">
      <c r="A7" s="5">
        <v>2</v>
      </c>
      <c r="B7" t="s">
        <v>55</v>
      </c>
      <c r="C7" s="4" t="s">
        <v>44</v>
      </c>
      <c r="D7" s="4" t="b">
        <v>0</v>
      </c>
    </row>
    <row r="8" spans="1:4" x14ac:dyDescent="0.25">
      <c r="A8" s="5">
        <v>10</v>
      </c>
      <c r="B8" t="s">
        <v>56</v>
      </c>
      <c r="C8" s="4" t="s">
        <v>57</v>
      </c>
      <c r="D8" s="4" t="b">
        <v>1</v>
      </c>
    </row>
    <row r="9" spans="1:4" x14ac:dyDescent="0.25">
      <c r="A9" s="5">
        <v>9</v>
      </c>
      <c r="B9" t="s">
        <v>58</v>
      </c>
      <c r="C9" s="4" t="s">
        <v>59</v>
      </c>
      <c r="D9" s="4" t="b">
        <v>0</v>
      </c>
    </row>
    <row r="10" spans="1:4" x14ac:dyDescent="0.25">
      <c r="A10" s="5">
        <v>5</v>
      </c>
      <c r="B10" t="s">
        <v>60</v>
      </c>
      <c r="C10" s="4" t="s">
        <v>38</v>
      </c>
      <c r="D10" s="4" t="b">
        <v>0</v>
      </c>
    </row>
    <row r="11" spans="1:4" x14ac:dyDescent="0.25">
      <c r="A11" s="5">
        <v>1</v>
      </c>
      <c r="B11" t="s">
        <v>61</v>
      </c>
      <c r="C11" s="4" t="s">
        <v>43</v>
      </c>
      <c r="D11" s="4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MAIN</vt:lpstr>
      <vt:lpstr>L</vt:lpstr>
      <vt:lpstr>TEMP</vt:lpstr>
      <vt:lpstr>ALTERNADO</vt:lpstr>
      <vt:lpstr>dataSet</vt:lpstr>
      <vt:lpstr>DB_PATH</vt:lpstr>
      <vt:lpstr>HISTORICO</vt:lpstr>
      <vt:lpstr>ID_FICHA</vt:lpstr>
      <vt:lpstr>MONTO</vt:lpstr>
      <vt:lpstr>PARTICIPACION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Micaela Sofia Higa Higa</dc:creator>
  <cp:lastModifiedBy>Kenji Jhoncon</cp:lastModifiedBy>
  <dcterms:created xsi:type="dcterms:W3CDTF">2020-08-10T21:05:38Z</dcterms:created>
  <dcterms:modified xsi:type="dcterms:W3CDTF">2020-08-13T18:21:17Z</dcterms:modified>
</cp:coreProperties>
</file>