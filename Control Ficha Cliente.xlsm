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Zona Trabajo\Excel Macro\Control-Ficha-Cliente\"/>
    </mc:Choice>
  </mc:AlternateContent>
  <xr:revisionPtr revIDLastSave="0" documentId="13_ncr:1_{3EA27CC8-9564-4417-A7BC-CC1D6599ED19}" xr6:coauthVersionLast="45" xr6:coauthVersionMax="45" xr10:uidLastSave="{00000000-0000-0000-0000-000000000000}"/>
  <bookViews>
    <workbookView xWindow="-28920" yWindow="-120" windowWidth="29040" windowHeight="15840" xr2:uid="{00000000-000D-0000-FFFF-FFFF00000000}"/>
  </bookViews>
  <sheets>
    <sheet name="MAIN" sheetId="1" r:id="rId1"/>
    <sheet name="L" sheetId="3" r:id="rId2"/>
    <sheet name="TEMP" sheetId="4" state="hidden" r:id="rId3"/>
  </sheets>
  <functionGroups builtInGroupCount="19"/>
  <definedNames>
    <definedName name="ALTERNADO">MAIN!$B$5</definedName>
    <definedName name="dataSet">MAIN!$C$6</definedName>
    <definedName name="DB_PATH">L!$B$1</definedName>
    <definedName name="FECHA_REGISTRO">MAIN!$S$5</definedName>
    <definedName name="HISTORICO">MAIN!$K$2</definedName>
    <definedName name="ID_FICHA">MAIN!$D$5</definedName>
    <definedName name="ID_FICHA_MOD">MAIN!$E$5</definedName>
    <definedName name="IDENTIFICADOR">MAIN!$C$5</definedName>
    <definedName name="INTEGRANTES_NOMBRE">MAIN!$J$5</definedName>
    <definedName name="INTEGRANTES_TIPO">MAIN!$K$3</definedName>
    <definedName name="MONTO">MAIN!$R$5</definedName>
    <definedName name="PARTICIPACION">MAIN!$L$5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6" i="1" l="1"/>
  <c r="B7" i="1" s="1"/>
  <c r="B8" i="1" s="1"/>
  <c r="B9" i="1" s="1"/>
  <c r="B10" i="1" s="1"/>
  <c r="B11" i="1" s="1"/>
  <c r="B12" i="1" s="1"/>
  <c r="B13" i="1" s="1"/>
  <c r="B14" i="1" s="1"/>
  <c r="B15" i="1" s="1"/>
  <c r="B16" i="1" s="1"/>
  <c r="B17" i="1" s="1"/>
  <c r="B18" i="1" s="1"/>
  <c r="B19" i="1" s="1"/>
  <c r="B20" i="1" s="1"/>
  <c r="B21" i="1" s="1"/>
  <c r="B22" i="1" s="1"/>
  <c r="B23" i="1" s="1"/>
  <c r="B24" i="1" s="1"/>
  <c r="B25" i="1" s="1"/>
  <c r="B26" i="1" s="1"/>
  <c r="B27" i="1" s="1"/>
  <c r="B28" i="1" s="1"/>
  <c r="B5" i="1" l="1"/>
</calcChain>
</file>

<file path=xl/sharedStrings.xml><?xml version="1.0" encoding="utf-8"?>
<sst xmlns="http://schemas.openxmlformats.org/spreadsheetml/2006/main" count="264" uniqueCount="57">
  <si>
    <t>GRUPO</t>
  </si>
  <si>
    <t>DOI</t>
  </si>
  <si>
    <t>CODIGO SOCIO</t>
  </si>
  <si>
    <t>SOLICITUD</t>
  </si>
  <si>
    <t>PRODUCTO</t>
  </si>
  <si>
    <t>NOMBRE DEL SOCIO</t>
  </si>
  <si>
    <t>MON</t>
  </si>
  <si>
    <t>MONTO</t>
  </si>
  <si>
    <t>PORCENTAJE DE PARTICIPACION</t>
  </si>
  <si>
    <t>TIPO</t>
  </si>
  <si>
    <t>DB_PATH</t>
  </si>
  <si>
    <t>\DATABASE\DB_FICHA_CLIENTE.accdb</t>
  </si>
  <si>
    <t>ORIGINAL</t>
  </si>
  <si>
    <t>ACCIONISTA</t>
  </si>
  <si>
    <t>NINGUNO</t>
  </si>
  <si>
    <t>46917716</t>
  </si>
  <si>
    <t>0005431</t>
  </si>
  <si>
    <t>KENJI JHONCON YAGUE</t>
  </si>
  <si>
    <t>S</t>
  </si>
  <si>
    <t>2011-11-9898</t>
  </si>
  <si>
    <t>PEX</t>
  </si>
  <si>
    <t>D</t>
  </si>
  <si>
    <t>APPLE</t>
  </si>
  <si>
    <t>DDDDHHHFFECH UUAJCOI JG</t>
  </si>
  <si>
    <t>77777777777777</t>
  </si>
  <si>
    <t>Histórico:</t>
  </si>
  <si>
    <t>ID_FICHA</t>
  </si>
  <si>
    <t>PLC</t>
  </si>
  <si>
    <t>COPIA</t>
  </si>
  <si>
    <t>YE WO NIST</t>
  </si>
  <si>
    <t>32424</t>
  </si>
  <si>
    <t>PLC-CAF</t>
  </si>
  <si>
    <t>FECHA FICHA</t>
  </si>
  <si>
    <t>MR BLUE</t>
  </si>
  <si>
    <t>FECHA_FICHA</t>
  </si>
  <si>
    <t>Kenji Jhoncon</t>
  </si>
  <si>
    <t>Integrantes:</t>
  </si>
  <si>
    <t>TIPO INTEGRANTE</t>
  </si>
  <si>
    <t>NOMBRE INTEGRANTE</t>
  </si>
  <si>
    <t>USUARIO_MODIFICA</t>
  </si>
  <si>
    <t>FECHA_MODIFICA</t>
  </si>
  <si>
    <t>43643634</t>
  </si>
  <si>
    <t>ID_FICHA_MOD</t>
  </si>
  <si>
    <t>426466</t>
  </si>
  <si>
    <t>PLR</t>
  </si>
  <si>
    <t>ID_FICHA_PRESTAMO</t>
  </si>
  <si>
    <t>FECHA VINCULO</t>
  </si>
  <si>
    <t>JHGMD,DGH,F</t>
  </si>
  <si>
    <t>REPRESENTANTE</t>
  </si>
  <si>
    <t>43543DVCHBSDZXB</t>
  </si>
  <si>
    <t>TODOS</t>
  </si>
  <si>
    <t>DSGFSDG</t>
  </si>
  <si>
    <t>GERENCIA</t>
  </si>
  <si>
    <t>1231231VBV</t>
  </si>
  <si>
    <t>MMMMMMMMMMMM........HHG</t>
  </si>
  <si>
    <t>SI</t>
  </si>
  <si>
    <t>v3.1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</si>
</sst>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-* #,##0.00_-;\-* #,##0.00_-;_-* &quot;-&quot;??_-;_-@_-"/>
    <numFmt numFmtId="164" formatCode="dd/mm/yyyy\ hh:mm:ss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D1BD"/>
        <bgColor indexed="64"/>
      </patternFill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21">
    <xf numFmtId="0" fontId="0" fillId="0" borderId="0" xfId="0"/>
    <xf numFmtId="14" fontId="2" fillId="2" borderId="0" xfId="0" applyNumberFormat="1" applyFont="1" applyFill="1" applyAlignment="1" applyProtection="1">
      <alignment horizontal="center" vertical="center" wrapText="1"/>
      <protection locked="0"/>
    </xf>
    <xf numFmtId="14" fontId="2" fillId="2" borderId="0" xfId="0" applyNumberFormat="1" applyFont="1" applyFill="1" applyAlignment="1" applyProtection="1">
      <alignment horizontal="center" vertical="center"/>
      <protection locked="0"/>
    </xf>
    <xf numFmtId="49" fontId="0" fillId="0" borderId="0" xfId="0" applyNumberFormat="1"/>
    <xf numFmtId="1" fontId="0" fillId="0" borderId="0" xfId="0" applyNumberFormat="1"/>
    <xf numFmtId="14" fontId="0" fillId="0" borderId="0" xfId="0" applyNumberFormat="1"/>
    <xf numFmtId="4" fontId="0" fillId="0" borderId="0" xfId="0" applyNumberFormat="1"/>
    <xf numFmtId="10" fontId="0" fillId="0" borderId="0" xfId="2" applyNumberFormat="1" applyFont="1"/>
    <xf numFmtId="10" fontId="2" fillId="2" borderId="0" xfId="2" applyNumberFormat="1" applyFont="1" applyFill="1" applyAlignment="1" applyProtection="1">
      <alignment horizontal="center" vertical="center" wrapText="1"/>
      <protection locked="0"/>
    </xf>
    <xf numFmtId="4" fontId="2" fillId="2" borderId="0" xfId="1" applyNumberFormat="1" applyFont="1" applyFill="1" applyAlignment="1" applyProtection="1">
      <alignment horizontal="center" vertical="center" wrapText="1"/>
      <protection locked="0"/>
    </xf>
    <xf numFmtId="10" fontId="0" fillId="0" borderId="1" xfId="2" applyNumberFormat="1" applyFont="1" applyBorder="1" applyAlignment="1">
      <alignment horizontal="center"/>
    </xf>
    <xf numFmtId="0" fontId="0" fillId="0" borderId="0" xfId="0" applyAlignment="1">
      <alignment horizontal="right" indent="1"/>
    </xf>
    <xf numFmtId="14" fontId="0" fillId="0" borderId="0" xfId="0" applyNumberFormat="1"/>
    <xf numFmtId="14" fontId="0" fillId="0" borderId="0" xfId="0" applyNumberFormat="1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0" fillId="0" borderId="0" xfId="0" applyNumberFormat="1"/>
    <xf numFmtId="164" fontId="0" fillId="0" borderId="0" xfId="0" applyNumberFormat="1"/>
    <xf numFmtId="164" fontId="2" fillId="2" borderId="0" xfId="0" applyNumberFormat="1" applyFont="1" applyFill="1" applyAlignment="1" applyProtection="1">
      <alignment horizontal="center" vertical="center" wrapText="1"/>
      <protection locked="0"/>
    </xf>
    <xf numFmtId="14" fontId="0" fillId="0" borderId="0" xfId="0" applyNumberFormat="1"/>
    <xf numFmtId="0" fontId="0" fillId="0" borderId="0" xfId="0" applyFont="1" applyAlignment="1">
      <alignment horizontal="center"/>
    </xf>
  </cellXfs>
  <cellStyles count="3">
    <cellStyle name="Millares" xfId="1" builtinId="3"/>
    <cellStyle name="Normal" xfId="0" builtinId="0"/>
    <cellStyle name="Porcentaje" xfId="2" builtinId="5"/>
  </cellStyles>
  <dxfs count="1">
    <dxf>
      <fill>
        <patternFill>
          <bgColor theme="8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114300</xdr:colOff>
          <xdr:row>0</xdr:row>
          <xdr:rowOff>95250</xdr:rowOff>
        </xdr:from>
        <xdr:to>
          <xdr:col>5</xdr:col>
          <xdr:colOff>733425</xdr:colOff>
          <xdr:row>2</xdr:row>
          <xdr:rowOff>38100</xdr:rowOff>
        </xdr:to>
        <xdr:sp macro="" textlink="">
          <xdr:nvSpPr>
            <xdr:cNvPr id="1026" name="MantenimientoBD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Inicio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171450</xdr:colOff>
          <xdr:row>1</xdr:row>
          <xdr:rowOff>28575</xdr:rowOff>
        </xdr:from>
        <xdr:to>
          <xdr:col>11</xdr:col>
          <xdr:colOff>990600</xdr:colOff>
          <xdr:row>2</xdr:row>
          <xdr:rowOff>152400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Actualizar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28575</xdr:colOff>
          <xdr:row>2</xdr:row>
          <xdr:rowOff>47625</xdr:rowOff>
        </xdr:from>
        <xdr:to>
          <xdr:col>8</xdr:col>
          <xdr:colOff>666750</xdr:colOff>
          <xdr:row>3</xdr:row>
          <xdr:rowOff>95250</xdr:rowOff>
        </xdr:to>
        <xdr:sp macro="" textlink="">
          <xdr:nvSpPr>
            <xdr:cNvPr id="1032" name="MantenimientoBD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Grupos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0</xdr:row>
          <xdr:rowOff>95250</xdr:rowOff>
        </xdr:from>
        <xdr:to>
          <xdr:col>8</xdr:col>
          <xdr:colOff>838200</xdr:colOff>
          <xdr:row>1</xdr:row>
          <xdr:rowOff>142875</xdr:rowOff>
        </xdr:to>
        <xdr:sp macro="" textlink="">
          <xdr:nvSpPr>
            <xdr:cNvPr id="1033" name="MantenimientoBD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Accionistas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857250</xdr:colOff>
          <xdr:row>0</xdr:row>
          <xdr:rowOff>95250</xdr:rowOff>
        </xdr:from>
        <xdr:to>
          <xdr:col>6</xdr:col>
          <xdr:colOff>533400</xdr:colOff>
          <xdr:row>2</xdr:row>
          <xdr:rowOff>38100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 Ficha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628650</xdr:colOff>
          <xdr:row>0</xdr:row>
          <xdr:rowOff>104775</xdr:rowOff>
        </xdr:from>
        <xdr:to>
          <xdr:col>7</xdr:col>
          <xdr:colOff>590550</xdr:colOff>
          <xdr:row>2</xdr:row>
          <xdr:rowOff>38100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Modificar Ficha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914400</xdr:colOff>
          <xdr:row>0</xdr:row>
          <xdr:rowOff>95250</xdr:rowOff>
        </xdr:from>
        <xdr:to>
          <xdr:col>8</xdr:col>
          <xdr:colOff>1704975</xdr:colOff>
          <xdr:row>1</xdr:row>
          <xdr:rowOff>142875</xdr:rowOff>
        </xdr:to>
        <xdr:sp macro="" textlink="">
          <xdr:nvSpPr>
            <xdr:cNvPr id="1044" name="MantenimientoBD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Gerencia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1762125</xdr:colOff>
          <xdr:row>0</xdr:row>
          <xdr:rowOff>95250</xdr:rowOff>
        </xdr:from>
        <xdr:to>
          <xdr:col>9</xdr:col>
          <xdr:colOff>714375</xdr:colOff>
          <xdr:row>1</xdr:row>
          <xdr:rowOff>142875</xdr:rowOff>
        </xdr:to>
        <xdr:sp macro="" textlink="">
          <xdr:nvSpPr>
            <xdr:cNvPr id="1045" name="MantenimientoBD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Representante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752475</xdr:colOff>
          <xdr:row>2</xdr:row>
          <xdr:rowOff>38100</xdr:rowOff>
        </xdr:from>
        <xdr:to>
          <xdr:col>8</xdr:col>
          <xdr:colOff>1714500</xdr:colOff>
          <xdr:row>3</xdr:row>
          <xdr:rowOff>85725</xdr:rowOff>
        </xdr:to>
        <xdr:sp macro="" textlink="">
          <xdr:nvSpPr>
            <xdr:cNvPr id="1046" name="MantenimientoBD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Nacionalidad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1828800</xdr:colOff>
          <xdr:row>2</xdr:row>
          <xdr:rowOff>28575</xdr:rowOff>
        </xdr:from>
        <xdr:to>
          <xdr:col>9</xdr:col>
          <xdr:colOff>695325</xdr:colOff>
          <xdr:row>3</xdr:row>
          <xdr:rowOff>76200</xdr:rowOff>
        </xdr:to>
        <xdr:sp macro="" textlink="">
          <xdr:nvSpPr>
            <xdr:cNvPr id="1047" name="MantenimientoBD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Formacion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X43"/>
  <sheetViews>
    <sheetView showGridLines="0" tabSelected="1" zoomScaleNormal="100" workbookViewId="0">
      <selection activeCell="H6" sqref="H6"/>
    </sheetView>
  </sheetViews>
  <sheetFormatPr baseColWidth="10" defaultColWidth="11.42578125" defaultRowHeight="15" x14ac:dyDescent="0.25"/>
  <cols>
    <col min="1" max="1" width="4.28515625" customWidth="1"/>
    <col min="2" max="3" width="11.42578125" hidden="1" customWidth="1"/>
    <col min="4" max="5" width="11.42578125" style="16" hidden="1" customWidth="1"/>
    <col min="6" max="6" width="16.5703125" customWidth="1"/>
    <col min="7" max="7" width="16.140625" customWidth="1"/>
    <col min="8" max="8" width="14.28515625" customWidth="1"/>
    <col min="9" max="9" width="31.42578125" customWidth="1"/>
    <col min="10" max="10" width="35.28515625" customWidth="1"/>
    <col min="11" max="11" width="25.7109375" style="14" customWidth="1"/>
    <col min="12" max="12" width="16.7109375" style="7" customWidth="1"/>
    <col min="13" max="13" width="16.5703125" style="14" customWidth="1"/>
    <col min="14" max="14" width="16.5703125" style="15" customWidth="1"/>
    <col min="15" max="15" width="17.140625" customWidth="1"/>
    <col min="17" max="17" width="11.42578125" style="14"/>
    <col min="18" max="18" width="18.5703125" style="6" customWidth="1"/>
    <col min="19" max="19" width="23.5703125" style="17" customWidth="1"/>
  </cols>
  <sheetData>
    <row r="1" spans="1:50" ht="15.75" thickBot="1" x14ac:dyDescent="0.3">
      <c r="A1" t="s">
        <v>56</v>
      </c>
      <c r="N1" s="14"/>
    </row>
    <row r="2" spans="1:50" ht="15.75" thickBot="1" x14ac:dyDescent="0.3">
      <c r="J2" s="11" t="s">
        <v>25</v>
      </c>
      <c r="K2" s="10" t="s">
        <v>55</v>
      </c>
      <c r="N2" s="14"/>
    </row>
    <row r="3" spans="1:50" ht="15.75" thickBot="1" x14ac:dyDescent="0.3">
      <c r="J3" s="11" t="s">
        <v>36</v>
      </c>
      <c r="K3" s="10" t="s">
        <v>50</v>
      </c>
      <c r="N3" s="14"/>
    </row>
    <row r="4" spans="1:50" x14ac:dyDescent="0.25">
      <c r="N4" s="14"/>
    </row>
    <row r="5" spans="1:50" ht="25.5" x14ac:dyDescent="0.25">
      <c r="B5">
        <f>IF(C4&lt;&gt;C5,B4+1,B4)</f>
        <v>1</v>
      </c>
      <c r="C5" t="s">
        <v>45</v>
      </c>
      <c r="D5" s="16" t="s">
        <v>26</v>
      </c>
      <c r="E5" s="16" t="s">
        <v>42</v>
      </c>
      <c r="F5" s="1" t="s">
        <v>0</v>
      </c>
      <c r="G5" s="1" t="s">
        <v>1</v>
      </c>
      <c r="H5" s="1" t="s">
        <v>2</v>
      </c>
      <c r="I5" s="1" t="s">
        <v>5</v>
      </c>
      <c r="J5" s="1" t="s">
        <v>38</v>
      </c>
      <c r="K5" s="1" t="s">
        <v>37</v>
      </c>
      <c r="L5" s="8" t="s">
        <v>8</v>
      </c>
      <c r="M5" s="1" t="s">
        <v>9</v>
      </c>
      <c r="N5" s="1" t="s">
        <v>32</v>
      </c>
      <c r="O5" s="1" t="s">
        <v>3</v>
      </c>
      <c r="P5" s="1" t="s">
        <v>4</v>
      </c>
      <c r="Q5" s="2" t="s">
        <v>6</v>
      </c>
      <c r="R5" s="9" t="s">
        <v>7</v>
      </c>
      <c r="S5" s="18" t="s">
        <v>46</v>
      </c>
    </row>
    <row r="6" spans="1:50" x14ac:dyDescent="0.25">
      <c r="B6">
        <f t="shared" ref="B6:B28" si="0">IF(C5&lt;&gt;C6,B5+1,B5)</f>
        <v>2</v>
      </c>
      <c r="C6">
        <v>6</v>
      </c>
      <c r="D6" s="16">
        <v>1</v>
      </c>
      <c r="E6" s="16">
        <v>38</v>
      </c>
      <c r="F6" t="s">
        <v>14</v>
      </c>
      <c r="G6" t="s">
        <v>15</v>
      </c>
      <c r="H6" t="s">
        <v>16</v>
      </c>
      <c r="I6" s="13" t="s">
        <v>17</v>
      </c>
      <c r="J6" t="s">
        <v>33</v>
      </c>
      <c r="K6" s="14" t="s">
        <v>13</v>
      </c>
      <c r="L6" s="7">
        <v>0.28000000000000003</v>
      </c>
      <c r="M6" s="15" t="s">
        <v>12</v>
      </c>
      <c r="N6" s="15">
        <v>45323</v>
      </c>
      <c r="O6" s="13" t="s">
        <v>19</v>
      </c>
      <c r="P6" s="5" t="s">
        <v>20</v>
      </c>
      <c r="Q6" s="15" t="s">
        <v>18</v>
      </c>
      <c r="R6" s="6">
        <v>8745.65</v>
      </c>
      <c r="S6" s="17">
        <v>44075.964479166665</v>
      </c>
      <c r="T6" s="13"/>
      <c r="V6" s="13"/>
      <c r="AL6" s="12"/>
      <c r="AM6" s="12"/>
      <c r="AP6" s="12"/>
      <c r="AR6" s="13"/>
      <c r="AX6" s="12"/>
    </row>
    <row r="7" spans="1:50" x14ac:dyDescent="0.25">
      <c r="B7">
        <f t="shared" si="0"/>
        <v>2</v>
      </c>
      <c r="C7">
        <v>6</v>
      </c>
      <c r="D7" s="16">
        <v>1</v>
      </c>
      <c r="E7" s="16">
        <v>38</v>
      </c>
      <c r="F7" t="s">
        <v>14</v>
      </c>
      <c r="G7" t="s">
        <v>15</v>
      </c>
      <c r="H7" t="s">
        <v>16</v>
      </c>
      <c r="I7" s="13" t="s">
        <v>17</v>
      </c>
      <c r="J7" t="s">
        <v>29</v>
      </c>
      <c r="K7" s="14" t="s">
        <v>13</v>
      </c>
      <c r="L7" s="7">
        <v>0.72</v>
      </c>
      <c r="M7" s="15" t="s">
        <v>12</v>
      </c>
      <c r="N7" s="15">
        <v>45323</v>
      </c>
      <c r="O7" s="13" t="s">
        <v>19</v>
      </c>
      <c r="P7" s="5" t="s">
        <v>20</v>
      </c>
      <c r="Q7" s="15" t="s">
        <v>18</v>
      </c>
      <c r="R7" s="6">
        <v>8745.65</v>
      </c>
      <c r="S7" s="17">
        <v>44075.964479166665</v>
      </c>
      <c r="T7" s="13"/>
      <c r="V7" s="13"/>
      <c r="AL7" s="12"/>
      <c r="AM7" s="12"/>
      <c r="AP7" s="12"/>
      <c r="AR7" s="13"/>
      <c r="AX7" s="12"/>
    </row>
    <row r="8" spans="1:50" x14ac:dyDescent="0.25">
      <c r="B8">
        <f t="shared" si="0"/>
        <v>2</v>
      </c>
      <c r="C8">
        <v>6</v>
      </c>
      <c r="D8" s="16">
        <v>1</v>
      </c>
      <c r="E8" s="16">
        <v>38</v>
      </c>
      <c r="F8" t="s">
        <v>14</v>
      </c>
      <c r="G8" t="s">
        <v>15</v>
      </c>
      <c r="H8" t="s">
        <v>16</v>
      </c>
      <c r="I8" s="13" t="s">
        <v>17</v>
      </c>
      <c r="J8" t="s">
        <v>51</v>
      </c>
      <c r="K8" s="14" t="s">
        <v>52</v>
      </c>
      <c r="L8" s="7">
        <v>0</v>
      </c>
      <c r="M8" s="15" t="s">
        <v>12</v>
      </c>
      <c r="N8" s="15">
        <v>45323</v>
      </c>
      <c r="O8" s="13" t="s">
        <v>19</v>
      </c>
      <c r="P8" s="5" t="s">
        <v>20</v>
      </c>
      <c r="Q8" s="15" t="s">
        <v>18</v>
      </c>
      <c r="R8" s="6">
        <v>8745.65</v>
      </c>
      <c r="S8" s="17">
        <v>44075.964479166665</v>
      </c>
      <c r="T8" s="13"/>
      <c r="V8" s="13"/>
      <c r="AL8" s="12"/>
      <c r="AM8" s="12"/>
      <c r="AP8" s="12"/>
      <c r="AR8" s="13"/>
      <c r="AX8" s="12"/>
    </row>
    <row r="9" spans="1:50" x14ac:dyDescent="0.25">
      <c r="B9">
        <f t="shared" si="0"/>
        <v>2</v>
      </c>
      <c r="C9">
        <v>6</v>
      </c>
      <c r="D9" s="16">
        <v>1</v>
      </c>
      <c r="E9" s="16">
        <v>38</v>
      </c>
      <c r="F9" t="s">
        <v>14</v>
      </c>
      <c r="G9" t="s">
        <v>15</v>
      </c>
      <c r="H9" t="s">
        <v>16</v>
      </c>
      <c r="I9" s="13" t="s">
        <v>17</v>
      </c>
      <c r="J9" t="s">
        <v>47</v>
      </c>
      <c r="K9" s="14" t="s">
        <v>48</v>
      </c>
      <c r="L9" s="7">
        <v>0</v>
      </c>
      <c r="M9" s="15" t="s">
        <v>12</v>
      </c>
      <c r="N9" s="15">
        <v>45323</v>
      </c>
      <c r="O9" s="13" t="s">
        <v>19</v>
      </c>
      <c r="P9" s="5" t="s">
        <v>20</v>
      </c>
      <c r="Q9" s="15" t="s">
        <v>18</v>
      </c>
      <c r="R9" s="6">
        <v>8745.65</v>
      </c>
      <c r="S9" s="17">
        <v>44075.964479166665</v>
      </c>
      <c r="T9" s="13"/>
      <c r="V9" s="13"/>
      <c r="AL9" s="12"/>
      <c r="AM9" s="12"/>
      <c r="AP9" s="12"/>
      <c r="AR9" s="13"/>
      <c r="AX9" s="12"/>
    </row>
    <row r="10" spans="1:50" x14ac:dyDescent="0.25">
      <c r="B10">
        <f t="shared" si="0"/>
        <v>3</v>
      </c>
      <c r="C10">
        <v>1</v>
      </c>
      <c r="D10" s="16">
        <v>15</v>
      </c>
      <c r="E10" s="16">
        <v>15</v>
      </c>
      <c r="F10" t="s">
        <v>14</v>
      </c>
      <c r="G10" t="s">
        <v>15</v>
      </c>
      <c r="H10" t="s">
        <v>16</v>
      </c>
      <c r="I10" s="13" t="s">
        <v>17</v>
      </c>
      <c r="J10" t="s">
        <v>29</v>
      </c>
      <c r="K10" s="20" t="s">
        <v>13</v>
      </c>
      <c r="L10" s="7">
        <v>0.34149999999999997</v>
      </c>
      <c r="M10" s="15" t="s">
        <v>12</v>
      </c>
      <c r="N10" s="15">
        <v>44088</v>
      </c>
      <c r="O10" s="13" t="s">
        <v>19</v>
      </c>
      <c r="P10" s="5" t="s">
        <v>20</v>
      </c>
      <c r="Q10" s="15" t="s">
        <v>18</v>
      </c>
      <c r="R10" s="6">
        <v>8745.65</v>
      </c>
      <c r="S10" s="17">
        <v>44075.9137962963</v>
      </c>
      <c r="T10" s="13"/>
      <c r="V10" s="13"/>
      <c r="AL10" s="12"/>
      <c r="AM10" s="12"/>
      <c r="AP10" s="12"/>
      <c r="AR10" s="13"/>
      <c r="AX10" s="12"/>
    </row>
    <row r="11" spans="1:50" x14ac:dyDescent="0.25">
      <c r="B11">
        <f t="shared" si="0"/>
        <v>3</v>
      </c>
      <c r="C11">
        <v>1</v>
      </c>
      <c r="D11" s="16">
        <v>15</v>
      </c>
      <c r="E11" s="16">
        <v>15</v>
      </c>
      <c r="F11" t="s">
        <v>14</v>
      </c>
      <c r="G11" t="s">
        <v>15</v>
      </c>
      <c r="H11" t="s">
        <v>16</v>
      </c>
      <c r="I11" s="13" t="s">
        <v>17</v>
      </c>
      <c r="J11" t="s">
        <v>24</v>
      </c>
      <c r="K11" s="14" t="s">
        <v>13</v>
      </c>
      <c r="L11" s="7">
        <v>0.65849999999999997</v>
      </c>
      <c r="M11" s="15" t="s">
        <v>12</v>
      </c>
      <c r="N11" s="15">
        <v>44088</v>
      </c>
      <c r="O11" s="13" t="s">
        <v>19</v>
      </c>
      <c r="P11" s="5" t="s">
        <v>20</v>
      </c>
      <c r="Q11" s="15" t="s">
        <v>18</v>
      </c>
      <c r="R11" s="6">
        <v>8745.65</v>
      </c>
      <c r="S11" s="17">
        <v>44075.9137962963</v>
      </c>
      <c r="T11" s="13"/>
      <c r="V11" s="13"/>
      <c r="AL11" s="12"/>
      <c r="AM11" s="12"/>
      <c r="AP11" s="12"/>
      <c r="AR11" s="13"/>
      <c r="AX11" s="12"/>
    </row>
    <row r="12" spans="1:50" x14ac:dyDescent="0.25">
      <c r="B12">
        <f t="shared" si="0"/>
        <v>4</v>
      </c>
      <c r="C12">
        <v>2</v>
      </c>
      <c r="D12" s="16">
        <v>16</v>
      </c>
      <c r="E12" s="16">
        <v>16</v>
      </c>
      <c r="F12" t="s">
        <v>14</v>
      </c>
      <c r="G12" t="s">
        <v>15</v>
      </c>
      <c r="H12" t="s">
        <v>16</v>
      </c>
      <c r="I12" s="13" t="s">
        <v>17</v>
      </c>
      <c r="J12" t="s">
        <v>54</v>
      </c>
      <c r="K12" s="14" t="s">
        <v>13</v>
      </c>
      <c r="L12" s="7">
        <v>0.12</v>
      </c>
      <c r="M12" s="15" t="s">
        <v>12</v>
      </c>
      <c r="N12" s="15">
        <v>43935</v>
      </c>
      <c r="O12" s="13" t="s">
        <v>19</v>
      </c>
      <c r="P12" s="5" t="s">
        <v>20</v>
      </c>
      <c r="Q12" s="15" t="s">
        <v>18</v>
      </c>
      <c r="R12" s="6">
        <v>8745.65</v>
      </c>
      <c r="S12" s="17">
        <v>44075.914027777777</v>
      </c>
      <c r="T12" s="13"/>
      <c r="V12" s="13"/>
      <c r="AR12" s="13"/>
    </row>
    <row r="13" spans="1:50" x14ac:dyDescent="0.25">
      <c r="B13">
        <f t="shared" si="0"/>
        <v>4</v>
      </c>
      <c r="C13">
        <v>2</v>
      </c>
      <c r="D13" s="16">
        <v>16</v>
      </c>
      <c r="E13" s="16">
        <v>16</v>
      </c>
      <c r="F13" t="s">
        <v>14</v>
      </c>
      <c r="G13" t="s">
        <v>15</v>
      </c>
      <c r="H13" t="s">
        <v>16</v>
      </c>
      <c r="I13" s="13" t="s">
        <v>17</v>
      </c>
      <c r="J13" t="s">
        <v>24</v>
      </c>
      <c r="K13" s="14" t="s">
        <v>13</v>
      </c>
      <c r="L13" s="7">
        <v>0.45</v>
      </c>
      <c r="M13" s="15" t="s">
        <v>12</v>
      </c>
      <c r="N13" s="15">
        <v>43935</v>
      </c>
      <c r="O13" s="13" t="s">
        <v>19</v>
      </c>
      <c r="P13" s="5" t="s">
        <v>20</v>
      </c>
      <c r="Q13" s="15" t="s">
        <v>18</v>
      </c>
      <c r="R13" s="6">
        <v>8745.65</v>
      </c>
      <c r="S13" s="17">
        <v>44075.914027777777</v>
      </c>
      <c r="T13" s="13"/>
      <c r="V13" s="13"/>
      <c r="AR13" s="13"/>
    </row>
    <row r="14" spans="1:50" x14ac:dyDescent="0.25">
      <c r="B14">
        <f t="shared" si="0"/>
        <v>4</v>
      </c>
      <c r="C14">
        <v>2</v>
      </c>
      <c r="D14" s="16">
        <v>16</v>
      </c>
      <c r="E14" s="16">
        <v>16</v>
      </c>
      <c r="F14" t="s">
        <v>14</v>
      </c>
      <c r="G14" t="s">
        <v>15</v>
      </c>
      <c r="H14" t="s">
        <v>16</v>
      </c>
      <c r="I14" s="13" t="s">
        <v>17</v>
      </c>
      <c r="J14" t="s">
        <v>22</v>
      </c>
      <c r="K14" s="14" t="s">
        <v>13</v>
      </c>
      <c r="L14" s="7">
        <v>0.43</v>
      </c>
      <c r="M14" s="14" t="s">
        <v>12</v>
      </c>
      <c r="N14" s="15">
        <v>43935</v>
      </c>
      <c r="O14" s="13" t="s">
        <v>19</v>
      </c>
      <c r="P14" s="5" t="s">
        <v>20</v>
      </c>
      <c r="Q14" s="15" t="s">
        <v>18</v>
      </c>
      <c r="R14" s="6">
        <v>8745.65</v>
      </c>
      <c r="S14" s="17">
        <v>44075.914027777777</v>
      </c>
      <c r="AR14" s="13"/>
    </row>
    <row r="15" spans="1:50" x14ac:dyDescent="0.25">
      <c r="B15">
        <f t="shared" si="0"/>
        <v>5</v>
      </c>
      <c r="C15">
        <v>3</v>
      </c>
      <c r="D15" s="16">
        <v>15</v>
      </c>
      <c r="E15" s="16">
        <v>15</v>
      </c>
      <c r="F15" t="s">
        <v>14</v>
      </c>
      <c r="G15" t="s">
        <v>15</v>
      </c>
      <c r="H15" t="s">
        <v>16</v>
      </c>
      <c r="I15" s="13" t="s">
        <v>17</v>
      </c>
      <c r="J15" t="s">
        <v>29</v>
      </c>
      <c r="K15" s="14" t="s">
        <v>13</v>
      </c>
      <c r="L15" s="7">
        <v>0.34149999999999997</v>
      </c>
      <c r="M15" s="14" t="s">
        <v>28</v>
      </c>
      <c r="N15" s="15">
        <v>44088</v>
      </c>
      <c r="O15" s="13" t="s">
        <v>30</v>
      </c>
      <c r="P15" s="5" t="s">
        <v>31</v>
      </c>
      <c r="Q15" s="15" t="s">
        <v>21</v>
      </c>
      <c r="R15" s="6">
        <v>5556345</v>
      </c>
      <c r="S15" s="17">
        <v>44075.956041666665</v>
      </c>
      <c r="AR15" s="13"/>
    </row>
    <row r="16" spans="1:50" x14ac:dyDescent="0.25">
      <c r="B16">
        <f t="shared" si="0"/>
        <v>5</v>
      </c>
      <c r="C16">
        <v>3</v>
      </c>
      <c r="D16" s="16">
        <v>15</v>
      </c>
      <c r="E16" s="16">
        <v>15</v>
      </c>
      <c r="F16" t="s">
        <v>14</v>
      </c>
      <c r="G16" t="s">
        <v>15</v>
      </c>
      <c r="H16" t="s">
        <v>16</v>
      </c>
      <c r="I16" s="13" t="s">
        <v>17</v>
      </c>
      <c r="J16" t="s">
        <v>24</v>
      </c>
      <c r="K16" s="14" t="s">
        <v>13</v>
      </c>
      <c r="L16" s="7">
        <v>0.65849999999999997</v>
      </c>
      <c r="M16" s="14" t="s">
        <v>28</v>
      </c>
      <c r="N16" s="15">
        <v>44088</v>
      </c>
      <c r="O16" s="13" t="s">
        <v>30</v>
      </c>
      <c r="P16" s="5" t="s">
        <v>31</v>
      </c>
      <c r="Q16" s="15" t="s">
        <v>21</v>
      </c>
      <c r="R16" s="6">
        <v>5556345</v>
      </c>
      <c r="S16" s="17">
        <v>44075.956041666665</v>
      </c>
      <c r="AR16" s="13"/>
    </row>
    <row r="17" spans="2:44" x14ac:dyDescent="0.25">
      <c r="B17">
        <f t="shared" si="0"/>
        <v>6</v>
      </c>
      <c r="C17">
        <v>9</v>
      </c>
      <c r="D17" s="16">
        <v>15</v>
      </c>
      <c r="E17" s="16">
        <v>15</v>
      </c>
      <c r="F17" t="s">
        <v>14</v>
      </c>
      <c r="G17" t="s">
        <v>15</v>
      </c>
      <c r="H17" t="s">
        <v>16</v>
      </c>
      <c r="I17" s="13" t="s">
        <v>17</v>
      </c>
      <c r="J17" t="s">
        <v>29</v>
      </c>
      <c r="K17" s="14" t="s">
        <v>13</v>
      </c>
      <c r="L17" s="7">
        <v>0.34149999999999997</v>
      </c>
      <c r="M17" s="14" t="s">
        <v>12</v>
      </c>
      <c r="N17" s="15">
        <v>44088</v>
      </c>
      <c r="O17" s="13" t="s">
        <v>30</v>
      </c>
      <c r="P17" s="5" t="s">
        <v>31</v>
      </c>
      <c r="Q17" s="15" t="s">
        <v>21</v>
      </c>
      <c r="R17" s="6">
        <v>5556345</v>
      </c>
      <c r="S17" s="17">
        <v>44075.995312500003</v>
      </c>
      <c r="AR17" s="13"/>
    </row>
    <row r="18" spans="2:44" x14ac:dyDescent="0.25">
      <c r="B18">
        <f t="shared" si="0"/>
        <v>6</v>
      </c>
      <c r="C18">
        <v>9</v>
      </c>
      <c r="D18" s="16">
        <v>15</v>
      </c>
      <c r="E18" s="16">
        <v>15</v>
      </c>
      <c r="F18" t="s">
        <v>14</v>
      </c>
      <c r="G18" t="s">
        <v>15</v>
      </c>
      <c r="H18" t="s">
        <v>16</v>
      </c>
      <c r="I18" s="13" t="s">
        <v>17</v>
      </c>
      <c r="J18" t="s">
        <v>24</v>
      </c>
      <c r="K18" s="14" t="s">
        <v>13</v>
      </c>
      <c r="L18" s="7">
        <v>0.65849999999999997</v>
      </c>
      <c r="M18" s="14" t="s">
        <v>12</v>
      </c>
      <c r="N18" s="15">
        <v>44088</v>
      </c>
      <c r="O18" s="13" t="s">
        <v>30</v>
      </c>
      <c r="P18" s="5" t="s">
        <v>31</v>
      </c>
      <c r="Q18" s="15" t="s">
        <v>21</v>
      </c>
      <c r="R18" s="6">
        <v>5556345</v>
      </c>
      <c r="S18" s="17">
        <v>44075.995312500003</v>
      </c>
      <c r="AR18" s="13"/>
    </row>
    <row r="19" spans="2:44" x14ac:dyDescent="0.25">
      <c r="B19">
        <f t="shared" si="0"/>
        <v>7</v>
      </c>
      <c r="C19">
        <v>10</v>
      </c>
      <c r="D19" s="16">
        <v>4</v>
      </c>
      <c r="E19" s="16">
        <v>37</v>
      </c>
      <c r="F19" t="s">
        <v>14</v>
      </c>
      <c r="G19" t="s">
        <v>15</v>
      </c>
      <c r="H19" t="s">
        <v>16</v>
      </c>
      <c r="I19" s="13" t="s">
        <v>17</v>
      </c>
      <c r="J19" t="s">
        <v>24</v>
      </c>
      <c r="K19" s="14" t="s">
        <v>13</v>
      </c>
      <c r="L19" s="7">
        <v>0.08</v>
      </c>
      <c r="M19" s="14" t="s">
        <v>12</v>
      </c>
      <c r="N19" s="15">
        <v>44490</v>
      </c>
      <c r="O19" s="13" t="s">
        <v>41</v>
      </c>
      <c r="P19" s="5" t="s">
        <v>27</v>
      </c>
      <c r="Q19" s="15" t="s">
        <v>21</v>
      </c>
      <c r="R19" s="6">
        <v>5523</v>
      </c>
      <c r="S19" s="17">
        <v>44076.030405092592</v>
      </c>
      <c r="AR19" s="13"/>
    </row>
    <row r="20" spans="2:44" x14ac:dyDescent="0.25">
      <c r="B20">
        <f t="shared" si="0"/>
        <v>7</v>
      </c>
      <c r="C20">
        <v>10</v>
      </c>
      <c r="D20" s="16">
        <v>4</v>
      </c>
      <c r="E20" s="16">
        <v>37</v>
      </c>
      <c r="F20" t="s">
        <v>14</v>
      </c>
      <c r="G20" t="s">
        <v>15</v>
      </c>
      <c r="H20" t="s">
        <v>16</v>
      </c>
      <c r="I20" s="13" t="s">
        <v>17</v>
      </c>
      <c r="J20" t="s">
        <v>23</v>
      </c>
      <c r="K20" s="14" t="s">
        <v>13</v>
      </c>
      <c r="L20" s="7">
        <v>0.92</v>
      </c>
      <c r="M20" s="14" t="s">
        <v>12</v>
      </c>
      <c r="N20" s="15">
        <v>44490</v>
      </c>
      <c r="O20" s="13" t="s">
        <v>41</v>
      </c>
      <c r="P20" s="5" t="s">
        <v>27</v>
      </c>
      <c r="Q20" s="15" t="s">
        <v>21</v>
      </c>
      <c r="R20" s="6">
        <v>5523</v>
      </c>
      <c r="S20" s="17">
        <v>44076.030405092592</v>
      </c>
      <c r="AR20" s="13"/>
    </row>
    <row r="21" spans="2:44" x14ac:dyDescent="0.25">
      <c r="B21">
        <f t="shared" si="0"/>
        <v>7</v>
      </c>
      <c r="C21">
        <v>10</v>
      </c>
      <c r="D21" s="16">
        <v>4</v>
      </c>
      <c r="E21" s="16">
        <v>37</v>
      </c>
      <c r="F21" t="s">
        <v>14</v>
      </c>
      <c r="G21" t="s">
        <v>15</v>
      </c>
      <c r="H21" t="s">
        <v>16</v>
      </c>
      <c r="I21" s="13" t="s">
        <v>17</v>
      </c>
      <c r="J21" t="s">
        <v>53</v>
      </c>
      <c r="K21" s="14" t="s">
        <v>52</v>
      </c>
      <c r="L21" s="7">
        <v>0</v>
      </c>
      <c r="M21" s="14" t="s">
        <v>12</v>
      </c>
      <c r="N21" s="15">
        <v>44490</v>
      </c>
      <c r="O21" s="13" t="s">
        <v>41</v>
      </c>
      <c r="P21" s="5" t="s">
        <v>27</v>
      </c>
      <c r="Q21" s="15" t="s">
        <v>21</v>
      </c>
      <c r="R21" s="6">
        <v>5523</v>
      </c>
      <c r="S21" s="17">
        <v>44076.030405092592</v>
      </c>
      <c r="AR21" s="13"/>
    </row>
    <row r="22" spans="2:44" x14ac:dyDescent="0.25">
      <c r="B22">
        <f t="shared" si="0"/>
        <v>7</v>
      </c>
      <c r="C22">
        <v>10</v>
      </c>
      <c r="D22" s="16">
        <v>4</v>
      </c>
      <c r="E22" s="16">
        <v>37</v>
      </c>
      <c r="F22" t="s">
        <v>14</v>
      </c>
      <c r="G22" t="s">
        <v>15</v>
      </c>
      <c r="H22" t="s">
        <v>16</v>
      </c>
      <c r="I22" s="13" t="s">
        <v>17</v>
      </c>
      <c r="J22" t="s">
        <v>49</v>
      </c>
      <c r="K22" s="14" t="s">
        <v>48</v>
      </c>
      <c r="L22" s="7">
        <v>0</v>
      </c>
      <c r="M22" s="14" t="s">
        <v>12</v>
      </c>
      <c r="N22" s="15">
        <v>44490</v>
      </c>
      <c r="O22" s="13" t="s">
        <v>41</v>
      </c>
      <c r="P22" s="5" t="s">
        <v>27</v>
      </c>
      <c r="Q22" s="15" t="s">
        <v>21</v>
      </c>
      <c r="R22" s="6">
        <v>5523</v>
      </c>
      <c r="S22" s="17">
        <v>44076.030405092592</v>
      </c>
      <c r="AR22" s="13"/>
    </row>
    <row r="23" spans="2:44" x14ac:dyDescent="0.25">
      <c r="B23">
        <f t="shared" si="0"/>
        <v>8</v>
      </c>
      <c r="C23">
        <v>5</v>
      </c>
      <c r="D23" s="16">
        <v>15</v>
      </c>
      <c r="E23" s="16">
        <v>15</v>
      </c>
      <c r="F23" t="s">
        <v>14</v>
      </c>
      <c r="G23" t="s">
        <v>15</v>
      </c>
      <c r="H23" t="s">
        <v>16</v>
      </c>
      <c r="I23" s="13" t="s">
        <v>17</v>
      </c>
      <c r="J23" t="s">
        <v>29</v>
      </c>
      <c r="K23" s="14" t="s">
        <v>13</v>
      </c>
      <c r="L23" s="7">
        <v>0.34149999999999997</v>
      </c>
      <c r="M23" s="14" t="s">
        <v>28</v>
      </c>
      <c r="N23" s="15">
        <v>44088</v>
      </c>
      <c r="O23" s="13" t="s">
        <v>41</v>
      </c>
      <c r="P23" s="5" t="s">
        <v>27</v>
      </c>
      <c r="Q23" s="15" t="s">
        <v>21</v>
      </c>
      <c r="R23" s="6">
        <v>5523</v>
      </c>
      <c r="S23" s="17">
        <v>44075.964131944442</v>
      </c>
      <c r="AR23" s="13"/>
    </row>
    <row r="24" spans="2:44" x14ac:dyDescent="0.25">
      <c r="B24">
        <f t="shared" si="0"/>
        <v>8</v>
      </c>
      <c r="C24">
        <v>5</v>
      </c>
      <c r="D24" s="16">
        <v>15</v>
      </c>
      <c r="E24" s="16">
        <v>15</v>
      </c>
      <c r="F24" t="s">
        <v>14</v>
      </c>
      <c r="G24" t="s">
        <v>15</v>
      </c>
      <c r="H24" t="s">
        <v>16</v>
      </c>
      <c r="I24" s="13" t="s">
        <v>17</v>
      </c>
      <c r="J24" t="s">
        <v>24</v>
      </c>
      <c r="K24" s="14" t="s">
        <v>13</v>
      </c>
      <c r="L24" s="7">
        <v>0.65849999999999997</v>
      </c>
      <c r="M24" s="14" t="s">
        <v>28</v>
      </c>
      <c r="N24" s="15">
        <v>44088</v>
      </c>
      <c r="O24" s="13" t="s">
        <v>41</v>
      </c>
      <c r="P24" s="5" t="s">
        <v>27</v>
      </c>
      <c r="Q24" s="15" t="s">
        <v>21</v>
      </c>
      <c r="R24" s="6">
        <v>5523</v>
      </c>
      <c r="S24" s="17">
        <v>44075.964131944442</v>
      </c>
      <c r="AR24" s="13"/>
    </row>
    <row r="25" spans="2:44" x14ac:dyDescent="0.25">
      <c r="B25">
        <f t="shared" si="0"/>
        <v>9</v>
      </c>
      <c r="C25">
        <v>4</v>
      </c>
      <c r="D25" s="16">
        <v>16</v>
      </c>
      <c r="E25" s="16">
        <v>16</v>
      </c>
      <c r="F25" t="s">
        <v>14</v>
      </c>
      <c r="G25" t="s">
        <v>15</v>
      </c>
      <c r="H25" t="s">
        <v>16</v>
      </c>
      <c r="I25" s="13" t="s">
        <v>17</v>
      </c>
      <c r="J25" t="s">
        <v>54</v>
      </c>
      <c r="K25" s="14" t="s">
        <v>13</v>
      </c>
      <c r="L25" s="7">
        <v>0.12</v>
      </c>
      <c r="M25" s="14" t="s">
        <v>12</v>
      </c>
      <c r="N25" s="15">
        <v>43935</v>
      </c>
      <c r="O25" s="13" t="s">
        <v>41</v>
      </c>
      <c r="P25" s="5" t="s">
        <v>27</v>
      </c>
      <c r="Q25" s="15" t="s">
        <v>21</v>
      </c>
      <c r="R25" s="6">
        <v>5523</v>
      </c>
      <c r="S25" s="17">
        <v>44075.962025462963</v>
      </c>
      <c r="AR25" s="13"/>
    </row>
    <row r="26" spans="2:44" x14ac:dyDescent="0.25">
      <c r="B26">
        <f t="shared" si="0"/>
        <v>9</v>
      </c>
      <c r="C26">
        <v>4</v>
      </c>
      <c r="D26" s="16">
        <v>16</v>
      </c>
      <c r="E26" s="16">
        <v>16</v>
      </c>
      <c r="F26" t="s">
        <v>14</v>
      </c>
      <c r="G26" t="s">
        <v>15</v>
      </c>
      <c r="H26" t="s">
        <v>16</v>
      </c>
      <c r="I26" s="13" t="s">
        <v>17</v>
      </c>
      <c r="J26" t="s">
        <v>24</v>
      </c>
      <c r="K26" s="14" t="s">
        <v>13</v>
      </c>
      <c r="L26" s="7">
        <v>0.45</v>
      </c>
      <c r="M26" s="14" t="s">
        <v>12</v>
      </c>
      <c r="N26" s="15">
        <v>43935</v>
      </c>
      <c r="O26" s="13" t="s">
        <v>41</v>
      </c>
      <c r="P26" s="5" t="s">
        <v>27</v>
      </c>
      <c r="Q26" s="15" t="s">
        <v>21</v>
      </c>
      <c r="R26" s="6">
        <v>5523</v>
      </c>
      <c r="S26" s="17">
        <v>44075.962025462963</v>
      </c>
      <c r="AR26" s="13"/>
    </row>
    <row r="27" spans="2:44" x14ac:dyDescent="0.25">
      <c r="B27">
        <f t="shared" si="0"/>
        <v>9</v>
      </c>
      <c r="C27">
        <v>4</v>
      </c>
      <c r="D27" s="16">
        <v>16</v>
      </c>
      <c r="E27" s="16">
        <v>16</v>
      </c>
      <c r="F27" t="s">
        <v>14</v>
      </c>
      <c r="G27" t="s">
        <v>15</v>
      </c>
      <c r="H27" t="s">
        <v>16</v>
      </c>
      <c r="I27" s="13" t="s">
        <v>17</v>
      </c>
      <c r="J27" t="s">
        <v>22</v>
      </c>
      <c r="K27" s="14" t="s">
        <v>13</v>
      </c>
      <c r="L27" s="7">
        <v>0.43</v>
      </c>
      <c r="M27" s="14" t="s">
        <v>12</v>
      </c>
      <c r="N27" s="15">
        <v>43935</v>
      </c>
      <c r="O27" t="s">
        <v>41</v>
      </c>
      <c r="P27" s="5" t="s">
        <v>27</v>
      </c>
      <c r="Q27" s="15" t="s">
        <v>21</v>
      </c>
      <c r="R27" s="6">
        <v>5523</v>
      </c>
      <c r="S27" s="17">
        <v>44075.962025462963</v>
      </c>
    </row>
    <row r="28" spans="2:44" x14ac:dyDescent="0.25">
      <c r="B28">
        <f t="shared" si="0"/>
        <v>10</v>
      </c>
      <c r="C28">
        <v>11</v>
      </c>
      <c r="D28" s="16">
        <v>3</v>
      </c>
      <c r="E28" s="16">
        <v>3</v>
      </c>
      <c r="F28" t="s">
        <v>14</v>
      </c>
      <c r="G28" t="s">
        <v>15</v>
      </c>
      <c r="H28" t="s">
        <v>16</v>
      </c>
      <c r="I28" s="13" t="s">
        <v>17</v>
      </c>
      <c r="J28" t="s">
        <v>22</v>
      </c>
      <c r="K28" s="14" t="s">
        <v>13</v>
      </c>
      <c r="L28" s="7">
        <v>1</v>
      </c>
      <c r="M28" s="14" t="s">
        <v>28</v>
      </c>
      <c r="N28" s="15">
        <v>44099</v>
      </c>
      <c r="O28" t="s">
        <v>43</v>
      </c>
      <c r="P28" s="5" t="s">
        <v>44</v>
      </c>
      <c r="Q28" s="15" t="s">
        <v>21</v>
      </c>
      <c r="R28" s="6">
        <v>4536457</v>
      </c>
      <c r="S28" s="17">
        <v>44076.034178240741</v>
      </c>
    </row>
    <row r="29" spans="2:44" x14ac:dyDescent="0.25">
      <c r="P29" s="5"/>
      <c r="Q29" s="15"/>
    </row>
    <row r="30" spans="2:44" x14ac:dyDescent="0.25">
      <c r="P30" s="5"/>
      <c r="Q30" s="15"/>
    </row>
    <row r="31" spans="2:44" x14ac:dyDescent="0.25">
      <c r="P31" s="5"/>
      <c r="Q31" s="15"/>
    </row>
    <row r="32" spans="2:44" x14ac:dyDescent="0.25">
      <c r="P32" s="5"/>
      <c r="Q32" s="15"/>
    </row>
    <row r="33" spans="16:17" x14ac:dyDescent="0.25">
      <c r="P33" s="5"/>
      <c r="Q33" s="15"/>
    </row>
    <row r="34" spans="16:17" x14ac:dyDescent="0.25">
      <c r="P34" s="5"/>
      <c r="Q34" s="15"/>
    </row>
    <row r="35" spans="16:17" x14ac:dyDescent="0.25">
      <c r="P35" s="5"/>
      <c r="Q35" s="15"/>
    </row>
    <row r="36" spans="16:17" x14ac:dyDescent="0.25">
      <c r="P36" s="5"/>
      <c r="Q36" s="15"/>
    </row>
    <row r="37" spans="16:17" x14ac:dyDescent="0.25">
      <c r="P37" s="5"/>
      <c r="Q37" s="15"/>
    </row>
    <row r="38" spans="16:17" x14ac:dyDescent="0.25">
      <c r="P38" s="5"/>
      <c r="Q38" s="15"/>
    </row>
    <row r="39" spans="16:17" x14ac:dyDescent="0.25">
      <c r="P39" s="5"/>
      <c r="Q39" s="15"/>
    </row>
    <row r="40" spans="16:17" x14ac:dyDescent="0.25">
      <c r="P40" s="5"/>
      <c r="Q40" s="15"/>
    </row>
    <row r="41" spans="16:17" x14ac:dyDescent="0.25">
      <c r="P41" s="5"/>
      <c r="Q41" s="15"/>
    </row>
    <row r="42" spans="16:17" x14ac:dyDescent="0.25">
      <c r="P42" s="5"/>
      <c r="Q42" s="15"/>
    </row>
    <row r="43" spans="16:17" x14ac:dyDescent="0.25">
      <c r="P43" s="5"/>
      <c r="Q43" s="15"/>
    </row>
  </sheetData>
  <conditionalFormatting sqref="F6:S1000">
    <cfRule type="expression" dxfId="0" priority="1">
      <formula>AND(MOD($B6,2)=1)</formula>
    </cfRule>
  </conditionalFormatting>
  <dataValidations count="2">
    <dataValidation type="list" allowBlank="1" showInputMessage="1" showErrorMessage="1" sqref="K2" xr:uid="{00000000-0002-0000-0000-000000000000}">
      <formula1>"SI,NO"</formula1>
    </dataValidation>
    <dataValidation type="list" allowBlank="1" showInputMessage="1" showErrorMessage="1" sqref="K3" xr:uid="{882CC6B3-72A2-4D5E-A7B6-0CBB9395AEB1}">
      <formula1>"TODOS,ACCIONISTAS,GERENCIAS,REPRESENTANTES LEGALES"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MantenimientoBD">
              <controlPr defaultSize="0" print="0" autoFill="0" autoPict="0" macro="[0]!MantenimientoDB">
                <anchor moveWithCells="1" sizeWithCells="1">
                  <from>
                    <xdr:col>5</xdr:col>
                    <xdr:colOff>114300</xdr:colOff>
                    <xdr:row>0</xdr:row>
                    <xdr:rowOff>95250</xdr:rowOff>
                  </from>
                  <to>
                    <xdr:col>5</xdr:col>
                    <xdr:colOff>733425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ActualizarMain">
                <anchor moveWithCells="1">
                  <from>
                    <xdr:col>11</xdr:col>
                    <xdr:colOff>171450</xdr:colOff>
                    <xdr:row>1</xdr:row>
                    <xdr:rowOff>28575</xdr:rowOff>
                  </from>
                  <to>
                    <xdr:col>11</xdr:col>
                    <xdr:colOff>990600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MantenimientoBD">
              <controlPr defaultSize="0" print="0" autoFill="0" autoPict="0" macro="[0]!MantenimientoGrupo">
                <anchor moveWithCells="1" sizeWithCells="1">
                  <from>
                    <xdr:col>8</xdr:col>
                    <xdr:colOff>28575</xdr:colOff>
                    <xdr:row>2</xdr:row>
                    <xdr:rowOff>47625</xdr:rowOff>
                  </from>
                  <to>
                    <xdr:col>8</xdr:col>
                    <xdr:colOff>666750</xdr:colOff>
                    <xdr:row>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MantenimientoBD">
              <controlPr defaultSize="0" print="0" autoFill="0" autoPict="0" macro="[0]!MantenimientoAccionista">
                <anchor moveWithCells="1" sizeWithCells="1">
                  <from>
                    <xdr:col>8</xdr:col>
                    <xdr:colOff>47625</xdr:colOff>
                    <xdr:row>0</xdr:row>
                    <xdr:rowOff>95250</xdr:rowOff>
                  </from>
                  <to>
                    <xdr:col>8</xdr:col>
                    <xdr:colOff>838200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8" name="Button 11">
              <controlPr defaultSize="0" print="0" autoFill="0" autoPict="0" macro="[0]!VerFichaCliente">
                <anchor moveWithCells="1">
                  <from>
                    <xdr:col>5</xdr:col>
                    <xdr:colOff>857250</xdr:colOff>
                    <xdr:row>0</xdr:row>
                    <xdr:rowOff>95250</xdr:rowOff>
                  </from>
                  <to>
                    <xdr:col>6</xdr:col>
                    <xdr:colOff>533400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9" name="Button 18">
              <controlPr defaultSize="0" print="0" autoFill="0" autoPict="0" macro="[0]!ModificarFichaCliente">
                <anchor moveWithCells="1">
                  <from>
                    <xdr:col>6</xdr:col>
                    <xdr:colOff>628650</xdr:colOff>
                    <xdr:row>0</xdr:row>
                    <xdr:rowOff>104775</xdr:rowOff>
                  </from>
                  <to>
                    <xdr:col>7</xdr:col>
                    <xdr:colOff>590550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0" name="MantenimientoBD">
              <controlPr defaultSize="0" print="0" autoFill="0" autoPict="0" macro="[0]!MantenimientoGerencia">
                <anchor moveWithCells="1" sizeWithCells="1">
                  <from>
                    <xdr:col>8</xdr:col>
                    <xdr:colOff>914400</xdr:colOff>
                    <xdr:row>0</xdr:row>
                    <xdr:rowOff>95250</xdr:rowOff>
                  </from>
                  <to>
                    <xdr:col>8</xdr:col>
                    <xdr:colOff>1704975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1" name="MantenimientoBD">
              <controlPr defaultSize="0" print="0" autoFill="0" autoPict="0" macro="[0]!MantenimientoRepresentante">
                <anchor moveWithCells="1" sizeWithCells="1">
                  <from>
                    <xdr:col>8</xdr:col>
                    <xdr:colOff>1762125</xdr:colOff>
                    <xdr:row>0</xdr:row>
                    <xdr:rowOff>95250</xdr:rowOff>
                  </from>
                  <to>
                    <xdr:col>9</xdr:col>
                    <xdr:colOff>714375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2" name="MantenimientoBD">
              <controlPr defaultSize="0" print="0" autoFill="0" autoPict="0" macro="[0]!MantenimientoNacionalidad">
                <anchor moveWithCells="1" sizeWithCells="1">
                  <from>
                    <xdr:col>8</xdr:col>
                    <xdr:colOff>752475</xdr:colOff>
                    <xdr:row>2</xdr:row>
                    <xdr:rowOff>38100</xdr:rowOff>
                  </from>
                  <to>
                    <xdr:col>8</xdr:col>
                    <xdr:colOff>1714500</xdr:colOff>
                    <xdr:row>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3" name="MantenimientoBD">
              <controlPr defaultSize="0" print="0" autoFill="0" autoPict="0" macro="[0]!MantenimientoFormacion">
                <anchor moveWithCells="1" sizeWithCells="1">
                  <from>
                    <xdr:col>8</xdr:col>
                    <xdr:colOff>1828800</xdr:colOff>
                    <xdr:row>2</xdr:row>
                    <xdr:rowOff>28575</xdr:rowOff>
                  </from>
                  <to>
                    <xdr:col>9</xdr:col>
                    <xdr:colOff>695325</xdr:colOff>
                    <xdr:row>3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/>
  <dimension ref="A1:B1"/>
  <sheetViews>
    <sheetView workbookViewId="0"/>
  </sheetViews>
  <sheetFormatPr baseColWidth="10" defaultRowHeight="15" x14ac:dyDescent="0.25"/>
  <sheetData>
    <row r="1" spans="1:2" x14ac:dyDescent="0.25">
      <c r="A1" t="s">
        <v>10</v>
      </c>
      <c r="B1" t="s">
        <v>11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4"/>
  <dimension ref="A1:G7"/>
  <sheetViews>
    <sheetView workbookViewId="0"/>
  </sheetViews>
  <sheetFormatPr baseColWidth="10" defaultRowHeight="15" x14ac:dyDescent="0.25"/>
  <cols>
    <col min="1" max="1" width="11.42578125" style="4"/>
    <col min="2" max="2" width="19.42578125" style="19" customWidth="1"/>
    <col min="3" max="3" width="11.42578125" style="3"/>
    <col min="4" max="4" width="16.7109375" style="19" customWidth="1"/>
    <col min="5" max="5" width="31.5703125" style="17" customWidth="1"/>
    <col min="6" max="6" width="11.42578125" style="6"/>
    <col min="7" max="7" width="19" style="6" bestFit="1" customWidth="1"/>
  </cols>
  <sheetData>
    <row r="1" spans="1:4" x14ac:dyDescent="0.25">
      <c r="A1" s="4" t="s">
        <v>26</v>
      </c>
      <c r="B1" s="19" t="s">
        <v>34</v>
      </c>
      <c r="C1" s="3" t="s">
        <v>39</v>
      </c>
      <c r="D1" s="19" t="s">
        <v>40</v>
      </c>
    </row>
    <row r="2" spans="1:4" x14ac:dyDescent="0.25">
      <c r="A2" s="4">
        <v>1</v>
      </c>
      <c r="B2" s="19">
        <v>45323</v>
      </c>
      <c r="C2" s="3" t="s">
        <v>35</v>
      </c>
      <c r="D2" s="19">
        <v>44077.84033564815</v>
      </c>
    </row>
    <row r="3" spans="1:4" x14ac:dyDescent="0.25">
      <c r="A3" s="4">
        <v>4</v>
      </c>
      <c r="B3" s="19">
        <v>44490</v>
      </c>
      <c r="C3" s="3" t="s">
        <v>35</v>
      </c>
      <c r="D3" s="19">
        <v>44077.840115740742</v>
      </c>
    </row>
    <row r="4" spans="1:4" x14ac:dyDescent="0.25">
      <c r="A4" s="4">
        <v>3</v>
      </c>
      <c r="B4" s="19">
        <v>44099</v>
      </c>
      <c r="C4" s="3" t="s">
        <v>35</v>
      </c>
      <c r="D4" s="19">
        <v>44055.496423611112</v>
      </c>
    </row>
    <row r="5" spans="1:4" x14ac:dyDescent="0.25">
      <c r="A5" s="4">
        <v>15</v>
      </c>
      <c r="B5" s="19">
        <v>44088</v>
      </c>
      <c r="C5" s="3" t="s">
        <v>35</v>
      </c>
      <c r="D5" s="19">
        <v>44055.533819444441</v>
      </c>
    </row>
    <row r="6" spans="1:4" x14ac:dyDescent="0.25">
      <c r="A6" s="4">
        <v>20</v>
      </c>
      <c r="B6" s="19">
        <v>44063</v>
      </c>
      <c r="C6" s="3" t="s">
        <v>35</v>
      </c>
      <c r="D6" s="19">
        <v>44075.613067129627</v>
      </c>
    </row>
    <row r="7" spans="1:4" x14ac:dyDescent="0.25">
      <c r="A7" s="4">
        <v>16</v>
      </c>
      <c r="B7" s="19">
        <v>43935</v>
      </c>
      <c r="C7" s="3" t="s">
        <v>35</v>
      </c>
      <c r="D7" s="19">
        <v>44056.556134259263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12</vt:i4>
      </vt:variant>
    </vt:vector>
  </HeadingPairs>
  <TitlesOfParts>
    <vt:vector size="15" baseType="lpstr">
      <vt:lpstr>MAIN</vt:lpstr>
      <vt:lpstr>L</vt:lpstr>
      <vt:lpstr>TEMP</vt:lpstr>
      <vt:lpstr>ALTERNADO</vt:lpstr>
      <vt:lpstr>dataSet</vt:lpstr>
      <vt:lpstr>DB_PATH</vt:lpstr>
      <vt:lpstr>FECHA_REGISTRO</vt:lpstr>
      <vt:lpstr>HISTORICO</vt:lpstr>
      <vt:lpstr>ID_FICHA</vt:lpstr>
      <vt:lpstr>ID_FICHA_MOD</vt:lpstr>
      <vt:lpstr>IDENTIFICADOR</vt:lpstr>
      <vt:lpstr>INTEGRANTES_NOMBRE</vt:lpstr>
      <vt:lpstr>INTEGRANTES_TIPO</vt:lpstr>
      <vt:lpstr>MONTO</vt:lpstr>
      <vt:lpstr>PARTICIPACION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Micaela Sofia Higa Higa</dc:creator>
  <cp:lastModifiedBy>Kenji Jhoncon</cp:lastModifiedBy>
  <dcterms:created xsi:type="dcterms:W3CDTF">2020-08-10T21:05:38Z</dcterms:created>
  <dcterms:modified xsi:type="dcterms:W3CDTF">2020-09-04T21:17:28Z</dcterms:modified>
</cp:coreProperties>
</file>